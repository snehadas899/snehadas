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4d1bf9abcc4ab1d8/Desktop/sneha/"/>
    </mc:Choice>
  </mc:AlternateContent>
  <xr:revisionPtr revIDLastSave="87" documentId="8_{6E2ABEF3-9DFA-4507-A205-5C263EDF4052}" xr6:coauthVersionLast="47" xr6:coauthVersionMax="47" xr10:uidLastSave="{2EC51E57-02F9-4CDD-B095-EB74122AF5CF}"/>
  <bookViews>
    <workbookView xWindow="-108" yWindow="-108" windowWidth="23256" windowHeight="13896" activeTab="1" xr2:uid="{2B666329-2C24-45DE-9347-9E9106628E8C}"/>
  </bookViews>
  <sheets>
    <sheet name="pivot report" sheetId="1" r:id="rId1"/>
    <sheet name="dashboard" sheetId="2" r:id="rId2"/>
  </sheets>
  <definedNames>
    <definedName name="Slicer_Date__Month">#N/A</definedName>
    <definedName name="Slicer_Date__Year">#N/A</definedName>
  </definedNames>
  <calcPr calcId="181029"/>
  <pivotCaches>
    <pivotCache cacheId="289" r:id="rId3"/>
    <pivotCache cacheId="292" r:id="rId4"/>
    <pivotCache cacheId="295" r:id="rId5"/>
    <pivotCache cacheId="298" r:id="rId6"/>
    <pivotCache cacheId="301" r:id="rId7"/>
    <pivotCache cacheId="304" r:id="rId8"/>
    <pivotCache cacheId="307" r:id="rId9"/>
    <pivotCache cacheId="310" r:id="rId10"/>
    <pivotCache cacheId="313" r:id="rId11"/>
    <pivotCache cacheId="316" r:id="rId12"/>
    <pivotCache cacheId="319" r:id="rId13"/>
    <pivotCache cacheId="322" r:id="rId14"/>
    <pivotCache cacheId="325" r:id="rId15"/>
  </pivotCaches>
  <extLst>
    <ext xmlns:x14="http://schemas.microsoft.com/office/spreadsheetml/2009/9/main" uri="{876F7934-8845-4945-9796-88D515C7AA90}">
      <x14:pivotCaches>
        <pivotCache cacheId="13"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8244dcf7-c761-4268-b422-18632c7b4bdb" name="Hospital Emergency Room Data" connection="Query - Hospital Emergency Room Data"/>
          <x15:modelTable id="Calender_table_698b1bc5-2be3-4a1a-8f5e-43407177c19f"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A64" i="1" l="1"/>
  <c r="B64" i="1"/>
  <c r="B63" i="1"/>
  <c r="A63" i="1"/>
  <c r="C44" i="1"/>
  <c r="C4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5094FC-43F0-4B5F-B286-09345E466E92}" name="Query - Calender_table" description="Connection to the 'Calender_table' query in the workbook." type="100" refreshedVersion="8" minRefreshableVersion="5">
    <extLst>
      <ext xmlns:x15="http://schemas.microsoft.com/office/spreadsheetml/2010/11/main" uri="{DE250136-89BD-433C-8126-D09CA5730AF9}">
        <x15:connection id="6e0cb7eb-83d9-4a70-85c6-0759c37554b2"/>
      </ext>
    </extLst>
  </connection>
  <connection id="2" xr16:uid="{08C44C92-FD66-48EE-978F-6A809F391B4C}"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64a9646-2dbf-4d7c-91dc-11626fbe86b3"/>
      </ext>
    </extLst>
  </connection>
  <connection id="3" xr16:uid="{45679CE7-1185-4C36-9121-470A5B6F125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<sst xmlns="http://schemas.openxmlformats.org/spreadsheetml/2006/main" count="418" uniqueCount="69">
  <si>
    <t>Count of Patient Id</t>
  </si>
  <si>
    <t>Distinct Count of Patient Id</t>
  </si>
  <si>
    <t>No of patient</t>
  </si>
  <si>
    <t>Average of Patient Waittime</t>
  </si>
  <si>
    <t>Average of Patient Satisfaction Score</t>
  </si>
  <si>
    <t>Row Labels</t>
  </si>
  <si>
    <t>Grand Total</t>
  </si>
  <si>
    <t>admitted</t>
  </si>
  <si>
    <t>not admitted</t>
  </si>
  <si>
    <t>Count of Patient Admission Flag</t>
  </si>
  <si>
    <t>Count of Patient Admission Flag2</t>
  </si>
  <si>
    <t>ADMISSION STATUS</t>
  </si>
  <si>
    <t>%STATUS</t>
  </si>
  <si>
    <t>PATIENT</t>
  </si>
  <si>
    <t>0-9</t>
  </si>
  <si>
    <t>10-19</t>
  </si>
  <si>
    <t>20-29</t>
  </si>
  <si>
    <t>30-39</t>
  </si>
  <si>
    <t>40-49</t>
  </si>
  <si>
    <t>50-59</t>
  </si>
  <si>
    <t>60-69</t>
  </si>
  <si>
    <t>70-79</t>
  </si>
  <si>
    <t>Count of Age Group</t>
  </si>
  <si>
    <t>Delay</t>
  </si>
  <si>
    <t>ontime</t>
  </si>
  <si>
    <t>Count of Patient Gender</t>
  </si>
  <si>
    <t>Female</t>
  </si>
  <si>
    <t>Male</t>
  </si>
  <si>
    <t>Cardiology</t>
  </si>
  <si>
    <t>Gastroenterology</t>
  </si>
  <si>
    <t>General Practice</t>
  </si>
  <si>
    <t>Neurology</t>
  </si>
  <si>
    <t>None</t>
  </si>
  <si>
    <t>Orthopedics</t>
  </si>
  <si>
    <t>Physiotherapy</t>
  </si>
  <si>
    <t>Renal</t>
  </si>
  <si>
    <t>Count of Department Referral</t>
  </si>
  <si>
    <t>2023</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</si>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</sst>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002060"/>
        <bgColor indexed="64"/>
      </patternFill>
    </fill>
    <fill>
      <patternFill patternType="solid">
        <fgColor theme="7"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 fontId="0" fillId="0" borderId="0" xfId="0" applyNumberFormat="1"/>
    <xf numFmtId="10" fontId="0" fillId="0" borderId="0" xfId="0" applyNumberFormat="1"/>
    <xf numFmtId="9" fontId="0" fillId="0" borderId="0" xfId="1" applyFont="1"/>
    <xf numFmtId="0" fontId="0" fillId="3" borderId="0" xfId="0" applyFill="1"/>
    <xf numFmtId="14" fontId="0" fillId="0" borderId="0" xfId="0" applyNumberFormat="1" applyAlignment="1">
      <alignment horizontal="left" indent="1"/>
    </xf>
    <xf numFmtId="0" fontId="0" fillId="0" borderId="0" xfId="0" applyAlignment="1">
      <alignment horizontal="left" indent="3"/>
    </xf>
    <xf numFmtId="0" fontId="0" fillId="0" borderId="0" xfId="0" applyNumberFormat="1"/>
  </cellXfs>
  <cellStyles count="2">
    <cellStyle name="Normal" xfId="0" builtinId="0"/>
    <cellStyle name="Percent" xfId="1" builtinId="5"/>
  </cellStyles>
  <dxfs count="166">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1" formatCode="0"/>
    </dxf>
    <dxf>
      <border diagonalUp="0" diagonalDown="0">
        <left/>
        <right/>
        <top/>
        <bottom/>
        <vertical/>
        <horizontal/>
      </border>
    </dxf>
    <dxf>
      <border diagonalUp="0" diagonalDown="0">
        <left/>
        <right/>
        <top/>
        <bottom/>
        <vertical/>
        <horizontal/>
      </border>
    </dxf>
    <dxf>
      <font>
        <strike val="0"/>
      </font>
      <fill>
        <patternFill patternType="none">
          <bgColor auto="1"/>
        </patternFill>
      </fill>
      <border diagonalUp="0" diagonalDown="0">
        <left/>
        <right/>
        <top/>
        <bottom/>
        <vertical/>
        <horizontal/>
      </border>
    </dxf>
    <dxf>
      <font>
        <b/>
        <i val="0"/>
        <sz val="9"/>
        <name val="Angsana New"/>
        <family val="1"/>
        <charset val="222"/>
        <scheme val="none"/>
      </font>
    </dxf>
  </dxfs>
  <tableStyles count="5" defaultTableStyle="TableStyleMedium2" defaultPivotStyle="PivotStyleLight16">
    <tableStyle name="Invisible" pivot="0" table="0" count="0" xr9:uid="{3FA9306E-E3A8-4224-8338-5C5C1D23609C}"/>
    <tableStyle name="Slicer Style 1" pivot="0" table="0" count="1" xr9:uid="{D1965D0E-18E2-4D01-BC64-3B30DCAA88AC}">
      <tableStyleElement type="wholeTable" dxfId="165"/>
    </tableStyle>
    <tableStyle name="Slicer Style 2" pivot="0" table="0" count="1" xr9:uid="{0FAD4851-7C9A-4E73-B794-2A1E1D896E16}">
      <tableStyleElement type="wholeTable" dxfId="164"/>
    </tableStyle>
    <tableStyle name="Slicer Style 3" pivot="0" table="0" count="1" xr9:uid="{73470647-643D-498B-97F9-81200F8B0669}">
      <tableStyleElement type="wholeTable" dxfId="163"/>
    </tableStyle>
    <tableStyle name="Slicer Style 4" pivot="0" table="0" count="1" xr9:uid="{ECE8678C-0E42-47E4-9101-303266170449}">
      <tableStyleElement type="wholeTable" dxfId="162"/>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8.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[snehaproject.xlsx]pivot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A612E00-A722-41B9-A789-28A11796ED23}"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765039C-3FBE-4FF8-9EB1-6221F1684717}"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0.49491938507686539"/>
          <c:y val="0"/>
          <c:w val="0.41516464853657997"/>
          <c:h val="0.71353259683849346"/>
        </c:manualLayout>
      </c:layout>
      <c:barChart>
        <c:barDir val="bar"/>
        <c:grouping val="clustered"/>
        <c:varyColors val="0"/>
        <c:ser>
          <c:idx val="0"/>
          <c:order val="0"/>
          <c:tx>
            <c:strRef>
              <c:f>'pivot report'!$B$21</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270D-4C9B-90F6-FC63D0E2A628}"/>
              </c:ext>
            </c:extLst>
          </c:dPt>
          <c:dPt>
            <c:idx val="1"/>
            <c:invertIfNegative val="0"/>
            <c:bubble3D val="0"/>
            <c:extLst>
              <c:ext xmlns:c16="http://schemas.microsoft.com/office/drawing/2014/chart" uri="{C3380CC4-5D6E-409C-BE32-E72D297353CC}">
                <c16:uniqueId val="{00000001-270D-4C9B-90F6-FC63D0E2A628}"/>
              </c:ext>
            </c:extLst>
          </c:dPt>
          <c:dLbls>
            <c:dLbl>
              <c:idx val="0"/>
              <c:tx>
                <c:rich>
                  <a:bodyPr/>
                  <a:lstStyle/>
                  <a:p>
                    <a:fld id="{FA612E00-A722-41B9-A789-28A11796ED2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70D-4C9B-90F6-FC63D0E2A628}"/>
                </c:ext>
              </c:extLst>
            </c:dLbl>
            <c:dLbl>
              <c:idx val="1"/>
              <c:tx>
                <c:rich>
                  <a:bodyPr/>
                  <a:lstStyle/>
                  <a:p>
                    <a:fld id="{F765039C-3FBE-4FF8-9EB1-6221F168471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70D-4C9B-90F6-FC63D0E2A62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report'!$A$22:$A$24</c:f>
              <c:strCache>
                <c:ptCount val="2"/>
                <c:pt idx="0">
                  <c:v>admitted</c:v>
                </c:pt>
                <c:pt idx="1">
                  <c:v>not admitted</c:v>
                </c:pt>
              </c:strCache>
            </c:strRef>
          </c:cat>
          <c:val>
            <c:numRef>
              <c:f>'pivot report'!$B$22:$B$24</c:f>
              <c:numCache>
                <c:formatCode>0</c:formatCode>
                <c:ptCount val="2"/>
                <c:pt idx="0">
                  <c:v>231</c:v>
                </c:pt>
                <c:pt idx="1">
                  <c:v>233</c:v>
                </c:pt>
              </c:numCache>
            </c:numRef>
          </c:val>
          <c:extLst>
            <c:ext xmlns:c16="http://schemas.microsoft.com/office/drawing/2014/chart" uri="{C3380CC4-5D6E-409C-BE32-E72D297353CC}">
              <c16:uniqueId val="{00000002-CDE0-4AAB-B481-6E0856B58287}"/>
            </c:ext>
          </c:extLst>
        </c:ser>
        <c:ser>
          <c:idx val="1"/>
          <c:order val="1"/>
          <c:tx>
            <c:strRef>
              <c:f>'pivot report'!$C$21</c:f>
              <c:strCache>
                <c:ptCount val="1"/>
                <c:pt idx="0">
                  <c:v>Count of Patient Admission Flag2</c:v>
                </c:pt>
              </c:strCache>
            </c:strRef>
          </c:tx>
          <c:spPr>
            <a:solidFill>
              <a:schemeClr val="accent2"/>
            </a:solidFill>
            <a:ln>
              <a:noFill/>
            </a:ln>
            <a:effectLst/>
          </c:spPr>
          <c:invertIfNegative val="0"/>
          <c:cat>
            <c:strRef>
              <c:f>'pivot report'!$A$22:$A$24</c:f>
              <c:strCache>
                <c:ptCount val="2"/>
                <c:pt idx="0">
                  <c:v>admitted</c:v>
                </c:pt>
                <c:pt idx="1">
                  <c:v>not admitted</c:v>
                </c:pt>
              </c:strCache>
            </c:strRef>
          </c:cat>
          <c:val>
            <c:numRef>
              <c:f>'pivot report'!$C$22:$C$24</c:f>
              <c:numCache>
                <c:formatCode>0.00%</c:formatCode>
                <c:ptCount val="2"/>
                <c:pt idx="0">
                  <c:v>0.49784482758620691</c:v>
                </c:pt>
                <c:pt idx="1">
                  <c:v>0.50215517241379315</c:v>
                </c:pt>
              </c:numCache>
            </c:numRef>
          </c:val>
          <c:extLst>
            <c:ext xmlns:c16="http://schemas.microsoft.com/office/drawing/2014/chart" uri="{C3380CC4-5D6E-409C-BE32-E72D297353CC}">
              <c16:uniqueId val="{00000003-CDE0-4AAB-B481-6E0856B58287}"/>
            </c:ext>
          </c:extLst>
        </c:ser>
        <c:dLbls>
          <c:showLegendKey val="0"/>
          <c:showVal val="0"/>
          <c:showCatName val="0"/>
          <c:showSerName val="0"/>
          <c:showPercent val="0"/>
          <c:showBubbleSize val="0"/>
        </c:dLbls>
        <c:gapWidth val="182"/>
        <c:axId val="105974976"/>
        <c:axId val="105970656"/>
      </c:barChart>
      <c:catAx>
        <c:axId val="105974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70656"/>
        <c:crosses val="autoZero"/>
        <c:auto val="1"/>
        <c:lblAlgn val="ctr"/>
        <c:lblOffset val="100"/>
        <c:noMultiLvlLbl val="0"/>
      </c:catAx>
      <c:valAx>
        <c:axId val="10597065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749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[snehaproject.xlsx]pivot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36484672089256"/>
          <c:y val="4.3859649122807015E-2"/>
          <c:w val="0.77108139947853049"/>
          <c:h val="0.34011862826357225"/>
        </c:manualLayout>
      </c:layout>
      <c:areaChart>
        <c:grouping val="standard"/>
        <c:varyColors val="0"/>
        <c:ser>
          <c:idx val="0"/>
          <c:order val="0"/>
          <c:tx>
            <c:strRef>
              <c:f>'pivot report'!$F$10</c:f>
              <c:strCache>
                <c:ptCount val="1"/>
                <c:pt idx="0">
                  <c:v>Total</c:v>
                </c:pt>
              </c:strCache>
            </c:strRef>
          </c:tx>
          <c:spPr>
            <a:solidFill>
              <a:schemeClr val="accent1"/>
            </a:solidFill>
            <a:ln w="25400">
              <a:noFill/>
            </a:ln>
            <a:effectLst/>
          </c:spPr>
          <c:cat>
            <c:strRef>
              <c:f>'pivot report'!$E$11:$E$41</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report'!$F$11:$F$41</c:f>
              <c:numCache>
                <c:formatCode>General</c:formatCode>
                <c:ptCount val="30"/>
                <c:pt idx="0">
                  <c:v>17</c:v>
                </c:pt>
                <c:pt idx="1">
                  <c:v>12</c:v>
                </c:pt>
                <c:pt idx="2">
                  <c:v>14</c:v>
                </c:pt>
                <c:pt idx="3">
                  <c:v>17</c:v>
                </c:pt>
                <c:pt idx="4">
                  <c:v>17</c:v>
                </c:pt>
                <c:pt idx="5">
                  <c:v>16</c:v>
                </c:pt>
                <c:pt idx="6">
                  <c:v>19</c:v>
                </c:pt>
                <c:pt idx="7">
                  <c:v>14</c:v>
                </c:pt>
                <c:pt idx="8">
                  <c:v>17</c:v>
                </c:pt>
                <c:pt idx="9">
                  <c:v>13</c:v>
                </c:pt>
                <c:pt idx="10">
                  <c:v>12</c:v>
                </c:pt>
                <c:pt idx="11">
                  <c:v>16</c:v>
                </c:pt>
                <c:pt idx="12">
                  <c:v>9</c:v>
                </c:pt>
                <c:pt idx="13">
                  <c:v>17</c:v>
                </c:pt>
                <c:pt idx="14">
                  <c:v>16</c:v>
                </c:pt>
                <c:pt idx="15">
                  <c:v>17</c:v>
                </c:pt>
                <c:pt idx="16">
                  <c:v>21</c:v>
                </c:pt>
                <c:pt idx="17">
                  <c:v>15</c:v>
                </c:pt>
                <c:pt idx="18">
                  <c:v>22</c:v>
                </c:pt>
                <c:pt idx="19">
                  <c:v>14</c:v>
                </c:pt>
                <c:pt idx="20">
                  <c:v>13</c:v>
                </c:pt>
                <c:pt idx="21">
                  <c:v>10</c:v>
                </c:pt>
                <c:pt idx="22">
                  <c:v>17</c:v>
                </c:pt>
                <c:pt idx="23">
                  <c:v>17</c:v>
                </c:pt>
                <c:pt idx="24">
                  <c:v>13</c:v>
                </c:pt>
                <c:pt idx="25">
                  <c:v>11</c:v>
                </c:pt>
                <c:pt idx="26">
                  <c:v>19</c:v>
                </c:pt>
                <c:pt idx="27">
                  <c:v>16</c:v>
                </c:pt>
                <c:pt idx="28">
                  <c:v>15</c:v>
                </c:pt>
                <c:pt idx="29">
                  <c:v>18</c:v>
                </c:pt>
              </c:numCache>
            </c:numRef>
          </c:val>
          <c:extLst>
            <c:ext xmlns:c16="http://schemas.microsoft.com/office/drawing/2014/chart" uri="{C3380CC4-5D6E-409C-BE32-E72D297353CC}">
              <c16:uniqueId val="{00000000-68C3-4F9D-A739-E70B921C619C}"/>
            </c:ext>
          </c:extLst>
        </c:ser>
        <c:dLbls>
          <c:showLegendKey val="0"/>
          <c:showVal val="0"/>
          <c:showCatName val="0"/>
          <c:showSerName val="0"/>
          <c:showPercent val="0"/>
          <c:showBubbleSize val="0"/>
        </c:dLbls>
        <c:axId val="494612463"/>
        <c:axId val="494614383"/>
      </c:areaChart>
      <c:catAx>
        <c:axId val="494612463"/>
        <c:scaling>
          <c:orientation val="minMax"/>
        </c:scaling>
        <c:delete val="1"/>
        <c:axPos val="b"/>
        <c:numFmt formatCode="General" sourceLinked="1"/>
        <c:majorTickMark val="out"/>
        <c:minorTickMark val="none"/>
        <c:tickLblPos val="nextTo"/>
        <c:crossAx val="494614383"/>
        <c:crosses val="autoZero"/>
        <c:auto val="1"/>
        <c:lblAlgn val="ctr"/>
        <c:lblOffset val="100"/>
        <c:noMultiLvlLbl val="0"/>
      </c:catAx>
      <c:valAx>
        <c:axId val="494614383"/>
        <c:scaling>
          <c:orientation val="minMax"/>
        </c:scaling>
        <c:delete val="1"/>
        <c:axPos val="l"/>
        <c:numFmt formatCode="General" sourceLinked="1"/>
        <c:majorTickMark val="none"/>
        <c:minorTickMark val="none"/>
        <c:tickLblPos val="nextTo"/>
        <c:crossAx val="49461246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[snehaproject.xlsx]pivot report!PivotTable5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01210121012101"/>
          <c:y val="0.17094017094017094"/>
          <c:w val="0.87898789878987904"/>
          <c:h val="0.52991452991452992"/>
        </c:manualLayout>
      </c:layout>
      <c:areaChart>
        <c:grouping val="standard"/>
        <c:varyColors val="0"/>
        <c:ser>
          <c:idx val="0"/>
          <c:order val="0"/>
          <c:tx>
            <c:strRef>
              <c:f>'pivot report'!$I$18</c:f>
              <c:strCache>
                <c:ptCount val="1"/>
                <c:pt idx="0">
                  <c:v>Total</c:v>
                </c:pt>
              </c:strCache>
            </c:strRef>
          </c:tx>
          <c:spPr>
            <a:solidFill>
              <a:schemeClr val="accent1"/>
            </a:solidFill>
            <a:ln w="25400">
              <a:noFill/>
            </a:ln>
            <a:effectLst/>
          </c:spPr>
          <c:cat>
            <c:strRef>
              <c:f>'pivot report'!$H$19:$H$49</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report'!$I$19:$I$49</c:f>
              <c:numCache>
                <c:formatCode>General</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0-F287-4839-BF8B-3BDB7CDA787A}"/>
            </c:ext>
          </c:extLst>
        </c:ser>
        <c:dLbls>
          <c:showLegendKey val="0"/>
          <c:showVal val="0"/>
          <c:showCatName val="0"/>
          <c:showSerName val="0"/>
          <c:showPercent val="0"/>
          <c:showBubbleSize val="0"/>
        </c:dLbls>
        <c:axId val="2045867519"/>
        <c:axId val="2045868479"/>
      </c:areaChart>
      <c:catAx>
        <c:axId val="2045867519"/>
        <c:scaling>
          <c:orientation val="minMax"/>
        </c:scaling>
        <c:delete val="1"/>
        <c:axPos val="b"/>
        <c:numFmt formatCode="General" sourceLinked="1"/>
        <c:majorTickMark val="out"/>
        <c:minorTickMark val="none"/>
        <c:tickLblPos val="nextTo"/>
        <c:crossAx val="2045868479"/>
        <c:crosses val="autoZero"/>
        <c:auto val="1"/>
        <c:lblAlgn val="ctr"/>
        <c:lblOffset val="100"/>
        <c:noMultiLvlLbl val="0"/>
      </c:catAx>
      <c:valAx>
        <c:axId val="2045868479"/>
        <c:scaling>
          <c:orientation val="minMax"/>
        </c:scaling>
        <c:delete val="1"/>
        <c:axPos val="l"/>
        <c:numFmt formatCode="General" sourceLinked="1"/>
        <c:majorTickMark val="none"/>
        <c:minorTickMark val="none"/>
        <c:tickLblPos val="nextTo"/>
        <c:crossAx val="204586751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[snehaproject.xlsx]pivot report!PivotTable6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01210121012101"/>
          <c:y val="0"/>
          <c:w val="0.87898789878987904"/>
          <c:h val="1"/>
        </c:manualLayout>
      </c:layout>
      <c:areaChart>
        <c:grouping val="standard"/>
        <c:varyColors val="0"/>
        <c:ser>
          <c:idx val="0"/>
          <c:order val="0"/>
          <c:tx>
            <c:strRef>
              <c:f>'pivot report'!$L$11</c:f>
              <c:strCache>
                <c:ptCount val="1"/>
                <c:pt idx="0">
                  <c:v>Total</c:v>
                </c:pt>
              </c:strCache>
            </c:strRef>
          </c:tx>
          <c:spPr>
            <a:solidFill>
              <a:schemeClr val="accent1"/>
            </a:solidFill>
            <a:ln w="25400">
              <a:noFill/>
            </a:ln>
            <a:effectLst/>
          </c:spPr>
          <c:cat>
            <c:strRef>
              <c:f>'pivot report'!$K$12:$K$42</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report'!$L$12:$L$42</c:f>
              <c:numCache>
                <c:formatCode>General</c:formatCode>
                <c:ptCount val="30"/>
                <c:pt idx="0">
                  <c:v>4.666666666666667</c:v>
                </c:pt>
                <c:pt idx="1">
                  <c:v>4.666666666666667</c:v>
                </c:pt>
                <c:pt idx="2">
                  <c:v>5.4</c:v>
                </c:pt>
                <c:pt idx="3">
                  <c:v>5.2</c:v>
                </c:pt>
                <c:pt idx="4">
                  <c:v>2.4285714285714284</c:v>
                </c:pt>
                <c:pt idx="5">
                  <c:v>4.8</c:v>
                </c:pt>
                <c:pt idx="6">
                  <c:v>6.5714285714285712</c:v>
                </c:pt>
                <c:pt idx="7">
                  <c:v>3</c:v>
                </c:pt>
                <c:pt idx="8">
                  <c:v>4.5999999999999996</c:v>
                </c:pt>
                <c:pt idx="9">
                  <c:v>3.875</c:v>
                </c:pt>
                <c:pt idx="10">
                  <c:v>7.25</c:v>
                </c:pt>
                <c:pt idx="11">
                  <c:v>3</c:v>
                </c:pt>
                <c:pt idx="12">
                  <c:v>8</c:v>
                </c:pt>
                <c:pt idx="13">
                  <c:v>6</c:v>
                </c:pt>
                <c:pt idx="14">
                  <c:v>3.6666666666666665</c:v>
                </c:pt>
                <c:pt idx="15">
                  <c:v>5.333333333333333</c:v>
                </c:pt>
                <c:pt idx="16">
                  <c:v>6.1111111111111107</c:v>
                </c:pt>
                <c:pt idx="17">
                  <c:v>6.5</c:v>
                </c:pt>
                <c:pt idx="18">
                  <c:v>5</c:v>
                </c:pt>
                <c:pt idx="19">
                  <c:v>5.8</c:v>
                </c:pt>
                <c:pt idx="20">
                  <c:v>6</c:v>
                </c:pt>
                <c:pt idx="21">
                  <c:v>8</c:v>
                </c:pt>
                <c:pt idx="22">
                  <c:v>7</c:v>
                </c:pt>
                <c:pt idx="23">
                  <c:v>3.75</c:v>
                </c:pt>
                <c:pt idx="24">
                  <c:v>1</c:v>
                </c:pt>
                <c:pt idx="25">
                  <c:v>9</c:v>
                </c:pt>
                <c:pt idx="26">
                  <c:v>5.8</c:v>
                </c:pt>
                <c:pt idx="27">
                  <c:v>4</c:v>
                </c:pt>
                <c:pt idx="28">
                  <c:v>6.4</c:v>
                </c:pt>
                <c:pt idx="29">
                  <c:v>5</c:v>
                </c:pt>
              </c:numCache>
            </c:numRef>
          </c:val>
          <c:extLst>
            <c:ext xmlns:c16="http://schemas.microsoft.com/office/drawing/2014/chart" uri="{C3380CC4-5D6E-409C-BE32-E72D297353CC}">
              <c16:uniqueId val="{00000000-CB4B-49C8-A302-A2C335A6522C}"/>
            </c:ext>
          </c:extLst>
        </c:ser>
        <c:dLbls>
          <c:showLegendKey val="0"/>
          <c:showVal val="0"/>
          <c:showCatName val="0"/>
          <c:showSerName val="0"/>
          <c:showPercent val="0"/>
          <c:showBubbleSize val="0"/>
        </c:dLbls>
        <c:axId val="36277824"/>
        <c:axId val="36278304"/>
      </c:areaChart>
      <c:catAx>
        <c:axId val="36277824"/>
        <c:scaling>
          <c:orientation val="minMax"/>
        </c:scaling>
        <c:delete val="1"/>
        <c:axPos val="b"/>
        <c:numFmt formatCode="General" sourceLinked="1"/>
        <c:majorTickMark val="out"/>
        <c:minorTickMark val="none"/>
        <c:tickLblPos val="nextTo"/>
        <c:crossAx val="36278304"/>
        <c:crosses val="autoZero"/>
        <c:auto val="1"/>
        <c:lblAlgn val="ctr"/>
        <c:lblOffset val="100"/>
        <c:noMultiLvlLbl val="0"/>
      </c:catAx>
      <c:valAx>
        <c:axId val="36278304"/>
        <c:scaling>
          <c:orientation val="minMax"/>
        </c:scaling>
        <c:delete val="1"/>
        <c:axPos val="l"/>
        <c:numFmt formatCode="General" sourceLinked="1"/>
        <c:majorTickMark val="none"/>
        <c:minorTickMark val="none"/>
        <c:tickLblPos val="nextTo"/>
        <c:crossAx val="36277824"/>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[snehaproject.xlsx]pivot report!PivotTable8</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report'!$B$31</c:f>
              <c:strCache>
                <c:ptCount val="1"/>
                <c:pt idx="0">
                  <c:v>Total</c:v>
                </c:pt>
              </c:strCache>
            </c:strRef>
          </c:tx>
          <c:spPr>
            <a:solidFill>
              <a:schemeClr val="accent1"/>
            </a:solidFill>
            <a:ln>
              <a:noFill/>
            </a:ln>
            <a:effectLst/>
          </c:spPr>
          <c:invertIfNegative val="0"/>
          <c:cat>
            <c:multiLvlStrRef>
              <c:f>'pivot report'!$A$32:$A$50</c:f>
              <c:multiLvlStrCache>
                <c:ptCount val="16"/>
                <c:lvl>
                  <c:pt idx="0">
                    <c:v>0-9</c:v>
                  </c:pt>
                  <c:pt idx="1">
                    <c:v>10-19</c:v>
                  </c:pt>
                  <c:pt idx="2">
                    <c:v>20-29</c:v>
                  </c:pt>
                  <c:pt idx="3">
                    <c:v>30-39</c:v>
                  </c:pt>
                  <c:pt idx="4">
                    <c:v>40-49</c:v>
                  </c:pt>
                  <c:pt idx="5">
                    <c:v>50-59</c:v>
                  </c:pt>
                  <c:pt idx="6">
                    <c:v>60-69</c:v>
                  </c:pt>
                  <c:pt idx="7">
                    <c:v>70-79</c:v>
                  </c:pt>
                  <c:pt idx="8">
                    <c:v>0-9</c:v>
                  </c:pt>
                  <c:pt idx="9">
                    <c:v>10-19</c:v>
                  </c:pt>
                  <c:pt idx="10">
                    <c:v>20-29</c:v>
                  </c:pt>
                  <c:pt idx="11">
                    <c:v>30-39</c:v>
                  </c:pt>
                  <c:pt idx="12">
                    <c:v>40-49</c:v>
                  </c:pt>
                  <c:pt idx="13">
                    <c:v>50-59</c:v>
                  </c:pt>
                  <c:pt idx="14">
                    <c:v>60-69</c:v>
                  </c:pt>
                  <c:pt idx="15">
                    <c:v>70-79</c:v>
                  </c:pt>
                </c:lvl>
                <c:lvl>
                  <c:pt idx="0">
                    <c:v>admitted</c:v>
                  </c:pt>
                  <c:pt idx="8">
                    <c:v>not admitted</c:v>
                  </c:pt>
                </c:lvl>
              </c:multiLvlStrCache>
            </c:multiLvlStrRef>
          </c:cat>
          <c:val>
            <c:numRef>
              <c:f>'pivot report'!$B$32:$B$50</c:f>
              <c:numCache>
                <c:formatCode>General</c:formatCode>
                <c:ptCount val="16"/>
                <c:pt idx="0">
                  <c:v>36</c:v>
                </c:pt>
                <c:pt idx="1">
                  <c:v>32</c:v>
                </c:pt>
                <c:pt idx="2">
                  <c:v>20</c:v>
                </c:pt>
                <c:pt idx="3">
                  <c:v>30</c:v>
                </c:pt>
                <c:pt idx="4">
                  <c:v>28</c:v>
                </c:pt>
                <c:pt idx="5">
                  <c:v>29</c:v>
                </c:pt>
                <c:pt idx="6">
                  <c:v>33</c:v>
                </c:pt>
                <c:pt idx="7">
                  <c:v>23</c:v>
                </c:pt>
                <c:pt idx="8">
                  <c:v>27</c:v>
                </c:pt>
                <c:pt idx="9">
                  <c:v>33</c:v>
                </c:pt>
                <c:pt idx="10">
                  <c:v>29</c:v>
                </c:pt>
                <c:pt idx="11">
                  <c:v>31</c:v>
                </c:pt>
                <c:pt idx="12">
                  <c:v>28</c:v>
                </c:pt>
                <c:pt idx="13">
                  <c:v>32</c:v>
                </c:pt>
                <c:pt idx="14">
                  <c:v>29</c:v>
                </c:pt>
                <c:pt idx="15">
                  <c:v>24</c:v>
                </c:pt>
              </c:numCache>
            </c:numRef>
          </c:val>
          <c:extLst>
            <c:ext xmlns:c16="http://schemas.microsoft.com/office/drawing/2014/chart" uri="{C3380CC4-5D6E-409C-BE32-E72D297353CC}">
              <c16:uniqueId val="{00000000-D90D-4D87-ACF1-4F15A289A559}"/>
            </c:ext>
          </c:extLst>
        </c:ser>
        <c:dLbls>
          <c:showLegendKey val="0"/>
          <c:showVal val="0"/>
          <c:showCatName val="0"/>
          <c:showSerName val="0"/>
          <c:showPercent val="0"/>
          <c:showBubbleSize val="0"/>
        </c:dLbls>
        <c:gapWidth val="219"/>
        <c:overlap val="-27"/>
        <c:axId val="2057846431"/>
        <c:axId val="2057848351"/>
      </c:barChart>
      <c:catAx>
        <c:axId val="205784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848351"/>
        <c:crosses val="autoZero"/>
        <c:auto val="1"/>
        <c:lblAlgn val="ctr"/>
        <c:lblOffset val="100"/>
        <c:noMultiLvlLbl val="0"/>
      </c:catAx>
      <c:valAx>
        <c:axId val="2057848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8464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[snehaproject.xlsx]pivot report!PivotTable9</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0796102144690477"/>
          <c:y val="7.9022988505747127E-2"/>
          <c:w val="0.53959484346224673"/>
          <c:h val="0.84195402298850575"/>
        </c:manualLayout>
      </c:layout>
      <c:pieChart>
        <c:varyColors val="1"/>
        <c:ser>
          <c:idx val="0"/>
          <c:order val="0"/>
          <c:tx>
            <c:strRef>
              <c:f>'pivot report'!$D$52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913-43CF-9EC1-985E5A486A7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913-43CF-9EC1-985E5A486A7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report'!$C$53:$C$55</c:f>
              <c:strCache>
                <c:ptCount val="2"/>
                <c:pt idx="0">
                  <c:v>Delay</c:v>
                </c:pt>
                <c:pt idx="1">
                  <c:v>ontime</c:v>
                </c:pt>
              </c:strCache>
            </c:strRef>
          </c:cat>
          <c:val>
            <c:numRef>
              <c:f>'pivot report'!$D$53:$D$55</c:f>
              <c:numCache>
                <c:formatCode>0</c:formatCode>
                <c:ptCount val="2"/>
                <c:pt idx="0">
                  <c:v>267</c:v>
                </c:pt>
                <c:pt idx="1">
                  <c:v>197</c:v>
                </c:pt>
              </c:numCache>
            </c:numRef>
          </c:val>
          <c:extLst>
            <c:ext xmlns:c16="http://schemas.microsoft.com/office/drawing/2014/chart" uri="{C3380CC4-5D6E-409C-BE32-E72D297353CC}">
              <c16:uniqueId val="{00000004-061A-4FF2-8C68-D6B2A19AB9F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777338948137811"/>
          <c:y val="2.471054754519323E-2"/>
          <c:w val="0.18923413233566799"/>
          <c:h val="0.242458593537876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[snehaproject.xlsx]pivot report!PivotTable10</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report'!$H$56</c:f>
              <c:strCache>
                <c:ptCount val="1"/>
                <c:pt idx="0">
                  <c:v>Total</c:v>
                </c:pt>
              </c:strCache>
            </c:strRef>
          </c:tx>
          <c:spPr>
            <a:ln>
              <a:noFill/>
            </a:ln>
          </c:spPr>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0D7-49E0-A4AC-6F71D6010C8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0D7-49E0-A4AC-6F71D6010C8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report'!$G$57:$G$59</c:f>
              <c:strCache>
                <c:ptCount val="2"/>
                <c:pt idx="0">
                  <c:v>Female</c:v>
                </c:pt>
                <c:pt idx="1">
                  <c:v>Male</c:v>
                </c:pt>
              </c:strCache>
            </c:strRef>
          </c:cat>
          <c:val>
            <c:numRef>
              <c:f>'pivot report'!$H$57:$H$59</c:f>
              <c:numCache>
                <c:formatCode>0</c:formatCode>
                <c:ptCount val="2"/>
                <c:pt idx="0">
                  <c:v>227</c:v>
                </c:pt>
                <c:pt idx="1">
                  <c:v>237</c:v>
                </c:pt>
              </c:numCache>
            </c:numRef>
          </c:val>
          <c:extLst>
            <c:ext xmlns:c16="http://schemas.microsoft.com/office/drawing/2014/chart" uri="{C3380CC4-5D6E-409C-BE32-E72D297353CC}">
              <c16:uniqueId val="{00000004-5757-488A-ADD2-C805D5C1DF2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5215980055784561"/>
          <c:y val="3.2295059503104288E-2"/>
          <c:w val="0.19711395450568678"/>
          <c:h val="0.225905195585491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[snehaproject.xlsx]pivot report!PivotTable11</c:name>
    <c:fmtId val="2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report'!$D$62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report'!$C$63:$C$71</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report'!$D$63:$D$71</c:f>
              <c:numCache>
                <c:formatCode>0</c:formatCode>
                <c:ptCount val="8"/>
                <c:pt idx="0">
                  <c:v>13</c:v>
                </c:pt>
                <c:pt idx="1">
                  <c:v>14</c:v>
                </c:pt>
                <c:pt idx="2">
                  <c:v>91</c:v>
                </c:pt>
                <c:pt idx="3">
                  <c:v>6</c:v>
                </c:pt>
                <c:pt idx="4">
                  <c:v>252</c:v>
                </c:pt>
                <c:pt idx="5">
                  <c:v>67</c:v>
                </c:pt>
                <c:pt idx="6">
                  <c:v>19</c:v>
                </c:pt>
                <c:pt idx="7">
                  <c:v>2</c:v>
                </c:pt>
              </c:numCache>
            </c:numRef>
          </c:val>
          <c:extLst>
            <c:ext xmlns:c16="http://schemas.microsoft.com/office/drawing/2014/chart" uri="{C3380CC4-5D6E-409C-BE32-E72D297353CC}">
              <c16:uniqueId val="{00000000-7535-46F1-869B-362C74FB3B9E}"/>
            </c:ext>
          </c:extLst>
        </c:ser>
        <c:dLbls>
          <c:showLegendKey val="0"/>
          <c:showVal val="0"/>
          <c:showCatName val="0"/>
          <c:showSerName val="0"/>
          <c:showPercent val="0"/>
          <c:showBubbleSize val="0"/>
        </c:dLbls>
        <c:gapWidth val="115"/>
        <c:overlap val="-20"/>
        <c:axId val="1917070015"/>
        <c:axId val="1917071455"/>
      </c:barChart>
      <c:catAx>
        <c:axId val="19170700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071455"/>
        <c:crosses val="autoZero"/>
        <c:auto val="1"/>
        <c:lblAlgn val="ctr"/>
        <c:lblOffset val="100"/>
        <c:noMultiLvlLbl val="0"/>
      </c:catAx>
      <c:valAx>
        <c:axId val="19170714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07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image" Target="../media/image9.svg"/><Relationship Id="rId2" Type="http://schemas.openxmlformats.org/officeDocument/2006/relationships/image" Target="../media/image2.sv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8.png"/><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image" Target="../media/image7.emf"/><Relationship Id="rId4" Type="http://schemas.openxmlformats.org/officeDocument/2006/relationships/image" Target="../media/image4.svg"/><Relationship Id="rId9" Type="http://schemas.openxmlformats.org/officeDocument/2006/relationships/chart" Target="../charts/chart4.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701040</xdr:colOff>
      <xdr:row>2</xdr:row>
      <xdr:rowOff>76201</xdr:rowOff>
    </xdr:from>
    <xdr:to>
      <xdr:col>2</xdr:col>
      <xdr:colOff>0</xdr:colOff>
      <xdr:row>6</xdr:row>
      <xdr:rowOff>137161</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03384D58-7E89-4FAE-B454-77C0456D55F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701040" y="563881"/>
              <a:ext cx="990600" cy="792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xdr:colOff>
      <xdr:row>96</xdr:row>
      <xdr:rowOff>7620</xdr:rowOff>
    </xdr:from>
    <xdr:to>
      <xdr:col>3</xdr:col>
      <xdr:colOff>2171700</xdr:colOff>
      <xdr:row>98</xdr:row>
      <xdr:rowOff>160020</xdr:rowOff>
    </xdr:to>
    <xdr:graphicFrame macro="">
      <xdr:nvGraphicFramePr>
        <xdr:cNvPr id="7" name="Chart 6">
          <a:extLst>
            <a:ext uri="{FF2B5EF4-FFF2-40B4-BE49-F238E27FC236}">
              <a16:creationId xmlns:a16="http://schemas.microsoft.com/office/drawing/2014/main" id="{3AC3AC34-01A4-6357-74CF-53A270ECF6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81</xdr:col>
      <xdr:colOff>243840</xdr:colOff>
      <xdr:row>3</xdr:row>
      <xdr:rowOff>175260</xdr:rowOff>
    </xdr:from>
    <xdr:to>
      <xdr:col>88</xdr:col>
      <xdr:colOff>175260</xdr:colOff>
      <xdr:row>8</xdr:row>
      <xdr:rowOff>175260</xdr:rowOff>
    </xdr:to>
    <xdr:sp macro="" textlink="">
      <xdr:nvSpPr>
        <xdr:cNvPr id="2" name="Rectangle: Rounded Corners 1">
          <a:extLst>
            <a:ext uri="{FF2B5EF4-FFF2-40B4-BE49-F238E27FC236}">
              <a16:creationId xmlns:a16="http://schemas.microsoft.com/office/drawing/2014/main" id="{FAA4F377-8EFC-76C7-EBDD-BDA6F11A5233}"/>
            </a:ext>
          </a:extLst>
        </xdr:cNvPr>
        <xdr:cNvSpPr/>
      </xdr:nvSpPr>
      <xdr:spPr>
        <a:xfrm>
          <a:off x="49621440" y="723900"/>
          <a:ext cx="4198620" cy="914400"/>
        </a:xfrm>
        <a:prstGeom prst="roundRect">
          <a:avLst/>
        </a:prstGeom>
        <a:solidFill>
          <a:schemeClr val="tx2">
            <a:lumMod val="25000"/>
            <a:lumOff val="7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88</xdr:col>
      <xdr:colOff>190500</xdr:colOff>
      <xdr:row>4</xdr:row>
      <xdr:rowOff>0</xdr:rowOff>
    </xdr:from>
    <xdr:to>
      <xdr:col>92</xdr:col>
      <xdr:colOff>251460</xdr:colOff>
      <xdr:row>9</xdr:row>
      <xdr:rowOff>83820</xdr:rowOff>
    </xdr:to>
    <xdr:sp macro="" textlink="">
      <xdr:nvSpPr>
        <xdr:cNvPr id="3" name="Rectangle: Rounded Corners 2">
          <a:extLst>
            <a:ext uri="{FF2B5EF4-FFF2-40B4-BE49-F238E27FC236}">
              <a16:creationId xmlns:a16="http://schemas.microsoft.com/office/drawing/2014/main" id="{5EC17D54-1B29-0DD2-C0F0-32D77F658CFC}"/>
            </a:ext>
          </a:extLst>
        </xdr:cNvPr>
        <xdr:cNvSpPr/>
      </xdr:nvSpPr>
      <xdr:spPr>
        <a:xfrm>
          <a:off x="53835300" y="731520"/>
          <a:ext cx="2499360" cy="99822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81</xdr:col>
      <xdr:colOff>190500</xdr:colOff>
      <xdr:row>9</xdr:row>
      <xdr:rowOff>68580</xdr:rowOff>
    </xdr:from>
    <xdr:to>
      <xdr:col>82</xdr:col>
      <xdr:colOff>601980</xdr:colOff>
      <xdr:row>33</xdr:row>
      <xdr:rowOff>60960</xdr:rowOff>
    </xdr:to>
    <xdr:sp macro="" textlink="">
      <xdr:nvSpPr>
        <xdr:cNvPr id="4" name="Rectangle: Rounded Corners 3">
          <a:extLst>
            <a:ext uri="{FF2B5EF4-FFF2-40B4-BE49-F238E27FC236}">
              <a16:creationId xmlns:a16="http://schemas.microsoft.com/office/drawing/2014/main" id="{FF0EFF13-34A2-A758-ECF7-5510F90898C3}"/>
            </a:ext>
          </a:extLst>
        </xdr:cNvPr>
        <xdr:cNvSpPr/>
      </xdr:nvSpPr>
      <xdr:spPr>
        <a:xfrm>
          <a:off x="49568100" y="1714500"/>
          <a:ext cx="1021080" cy="438150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92</xdr:col>
      <xdr:colOff>365760</xdr:colOff>
      <xdr:row>4</xdr:row>
      <xdr:rowOff>45720</xdr:rowOff>
    </xdr:from>
    <xdr:to>
      <xdr:col>97</xdr:col>
      <xdr:colOff>304800</xdr:colOff>
      <xdr:row>15</xdr:row>
      <xdr:rowOff>129540</xdr:rowOff>
    </xdr:to>
    <xdr:sp macro="" textlink="">
      <xdr:nvSpPr>
        <xdr:cNvPr id="7" name="Rectangle 6">
          <a:extLst>
            <a:ext uri="{FF2B5EF4-FFF2-40B4-BE49-F238E27FC236}">
              <a16:creationId xmlns:a16="http://schemas.microsoft.com/office/drawing/2014/main" id="{1303BE42-038E-A426-705B-B8E38E2ACA34}"/>
            </a:ext>
          </a:extLst>
        </xdr:cNvPr>
        <xdr:cNvSpPr/>
      </xdr:nvSpPr>
      <xdr:spPr>
        <a:xfrm>
          <a:off x="56448960" y="777240"/>
          <a:ext cx="2987040" cy="209550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97</xdr:col>
      <xdr:colOff>396240</xdr:colOff>
      <xdr:row>4</xdr:row>
      <xdr:rowOff>38100</xdr:rowOff>
    </xdr:from>
    <xdr:to>
      <xdr:col>102</xdr:col>
      <xdr:colOff>365760</xdr:colOff>
      <xdr:row>15</xdr:row>
      <xdr:rowOff>114300</xdr:rowOff>
    </xdr:to>
    <xdr:sp macro="" textlink="">
      <xdr:nvSpPr>
        <xdr:cNvPr id="8" name="Rectangle 7">
          <a:extLst>
            <a:ext uri="{FF2B5EF4-FFF2-40B4-BE49-F238E27FC236}">
              <a16:creationId xmlns:a16="http://schemas.microsoft.com/office/drawing/2014/main" id="{C41289A9-B069-AEEA-81E2-B4EEA4B98800}"/>
            </a:ext>
          </a:extLst>
        </xdr:cNvPr>
        <xdr:cNvSpPr/>
      </xdr:nvSpPr>
      <xdr:spPr>
        <a:xfrm>
          <a:off x="59527440" y="769620"/>
          <a:ext cx="3017520" cy="208788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83</xdr:col>
      <xdr:colOff>15240</xdr:colOff>
      <xdr:row>9</xdr:row>
      <xdr:rowOff>68580</xdr:rowOff>
    </xdr:from>
    <xdr:to>
      <xdr:col>92</xdr:col>
      <xdr:colOff>259080</xdr:colOff>
      <xdr:row>15</xdr:row>
      <xdr:rowOff>76200</xdr:rowOff>
    </xdr:to>
    <xdr:grpSp>
      <xdr:nvGrpSpPr>
        <xdr:cNvPr id="15" name="Group 14">
          <a:extLst>
            <a:ext uri="{FF2B5EF4-FFF2-40B4-BE49-F238E27FC236}">
              <a16:creationId xmlns:a16="http://schemas.microsoft.com/office/drawing/2014/main" id="{DDB1E29A-A7E7-AF5F-B976-13E4900C20D2}"/>
            </a:ext>
          </a:extLst>
        </xdr:cNvPr>
        <xdr:cNvGrpSpPr/>
      </xdr:nvGrpSpPr>
      <xdr:grpSpPr>
        <a:xfrm>
          <a:off x="50612040" y="1714500"/>
          <a:ext cx="5730240" cy="1104900"/>
          <a:chOff x="50581560" y="1714500"/>
          <a:chExt cx="5730240" cy="1104900"/>
        </a:xfrm>
      </xdr:grpSpPr>
      <xdr:sp macro="" textlink="">
        <xdr:nvSpPr>
          <xdr:cNvPr id="9" name="Rectangle: Rounded Corners 8">
            <a:extLst>
              <a:ext uri="{FF2B5EF4-FFF2-40B4-BE49-F238E27FC236}">
                <a16:creationId xmlns:a16="http://schemas.microsoft.com/office/drawing/2014/main" id="{385213A5-787B-3D3A-EC1F-27E7E9D39497}"/>
              </a:ext>
            </a:extLst>
          </xdr:cNvPr>
          <xdr:cNvSpPr/>
        </xdr:nvSpPr>
        <xdr:spPr>
          <a:xfrm>
            <a:off x="50581560" y="1714500"/>
            <a:ext cx="1943100" cy="108966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263BCBB2-8B99-D78C-48D7-DB12A3DAC6E1}"/>
              </a:ext>
            </a:extLst>
          </xdr:cNvPr>
          <xdr:cNvSpPr/>
        </xdr:nvSpPr>
        <xdr:spPr>
          <a:xfrm>
            <a:off x="52578000" y="1737360"/>
            <a:ext cx="1920240" cy="106680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0F8F0121-D50B-A087-C3E3-DC53D197A2D9}"/>
              </a:ext>
            </a:extLst>
          </xdr:cNvPr>
          <xdr:cNvSpPr/>
        </xdr:nvSpPr>
        <xdr:spPr>
          <a:xfrm>
            <a:off x="54536340" y="1729740"/>
            <a:ext cx="1775460" cy="108966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92</xdr:col>
      <xdr:colOff>403860</xdr:colOff>
      <xdr:row>16</xdr:row>
      <xdr:rowOff>76200</xdr:rowOff>
    </xdr:from>
    <xdr:to>
      <xdr:col>102</xdr:col>
      <xdr:colOff>403860</xdr:colOff>
      <xdr:row>33</xdr:row>
      <xdr:rowOff>22860</xdr:rowOff>
    </xdr:to>
    <xdr:sp macro="" textlink="">
      <xdr:nvSpPr>
        <xdr:cNvPr id="13" name="Rectangle 12">
          <a:extLst>
            <a:ext uri="{FF2B5EF4-FFF2-40B4-BE49-F238E27FC236}">
              <a16:creationId xmlns:a16="http://schemas.microsoft.com/office/drawing/2014/main" id="{3A8B09E4-7B05-D372-703F-3B76EDD9AC4B}"/>
            </a:ext>
          </a:extLst>
        </xdr:cNvPr>
        <xdr:cNvSpPr/>
      </xdr:nvSpPr>
      <xdr:spPr>
        <a:xfrm>
          <a:off x="56487060" y="3002280"/>
          <a:ext cx="6096000" cy="305562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83</xdr:col>
      <xdr:colOff>53340</xdr:colOff>
      <xdr:row>21</xdr:row>
      <xdr:rowOff>99060</xdr:rowOff>
    </xdr:from>
    <xdr:to>
      <xdr:col>92</xdr:col>
      <xdr:colOff>335280</xdr:colOff>
      <xdr:row>33</xdr:row>
      <xdr:rowOff>7620</xdr:rowOff>
    </xdr:to>
    <xdr:sp macro="" textlink="">
      <xdr:nvSpPr>
        <xdr:cNvPr id="14" name="Rectangle 13">
          <a:extLst>
            <a:ext uri="{FF2B5EF4-FFF2-40B4-BE49-F238E27FC236}">
              <a16:creationId xmlns:a16="http://schemas.microsoft.com/office/drawing/2014/main" id="{571A59FE-DBE8-5FB7-031E-F01E9A2250A1}"/>
            </a:ext>
          </a:extLst>
        </xdr:cNvPr>
        <xdr:cNvSpPr/>
      </xdr:nvSpPr>
      <xdr:spPr>
        <a:xfrm>
          <a:off x="50650140" y="3939540"/>
          <a:ext cx="5768340" cy="210312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82</xdr:col>
      <xdr:colOff>160020</xdr:colOff>
      <xdr:row>4</xdr:row>
      <xdr:rowOff>38100</xdr:rowOff>
    </xdr:from>
    <xdr:to>
      <xdr:col>87</xdr:col>
      <xdr:colOff>381000</xdr:colOff>
      <xdr:row>8</xdr:row>
      <xdr:rowOff>175260</xdr:rowOff>
    </xdr:to>
    <xdr:sp macro="" textlink="">
      <xdr:nvSpPr>
        <xdr:cNvPr id="16" name="TextBox 15">
          <a:extLst>
            <a:ext uri="{FF2B5EF4-FFF2-40B4-BE49-F238E27FC236}">
              <a16:creationId xmlns:a16="http://schemas.microsoft.com/office/drawing/2014/main" id="{11D13434-F2DB-D628-3BE6-C3D302BF1118}"/>
            </a:ext>
          </a:extLst>
        </xdr:cNvPr>
        <xdr:cNvSpPr txBox="1"/>
      </xdr:nvSpPr>
      <xdr:spPr>
        <a:xfrm>
          <a:off x="50147220" y="769620"/>
          <a:ext cx="3268980" cy="868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fontAlgn="b"/>
          <a:r>
            <a:rPr lang="en-IN" sz="1600"/>
            <a:t>HOSPITAL EMERGENCY ROOM DASHBOARD</a:t>
          </a:r>
        </a:p>
        <a:p>
          <a:pPr algn="l" fontAlgn="b"/>
          <a:r>
            <a:rPr lang="en-IN" sz="1600" b="0" i="0" u="none" strike="noStrike">
              <a:solidFill>
                <a:schemeClr val="dk1"/>
              </a:solidFill>
              <a:effectLst/>
              <a:latin typeface="+mn-lt"/>
              <a:ea typeface="+mn-ea"/>
              <a:cs typeface="+mn-cs"/>
            </a:rPr>
            <a:t>MONTHLY</a:t>
          </a:r>
          <a:r>
            <a:rPr lang="en-IN" sz="1600" b="0" i="0" u="none" strike="noStrike" baseline="0">
              <a:solidFill>
                <a:schemeClr val="dk1"/>
              </a:solidFill>
              <a:effectLst/>
              <a:latin typeface="+mn-lt"/>
              <a:ea typeface="+mn-ea"/>
              <a:cs typeface="+mn-cs"/>
            </a:rPr>
            <a:t> REPORT</a:t>
          </a:r>
          <a:endParaRPr lang="en-IN" sz="1200" b="0" i="0" u="none" strike="noStrike">
            <a:solidFill>
              <a:schemeClr val="dk1"/>
            </a:solidFill>
            <a:effectLst/>
            <a:latin typeface="+mn-lt"/>
            <a:ea typeface="+mn-ea"/>
            <a:cs typeface="+mn-cs"/>
          </a:endParaRPr>
        </a:p>
      </xdr:txBody>
    </xdr:sp>
    <xdr:clientData/>
  </xdr:twoCellAnchor>
  <xdr:twoCellAnchor>
    <xdr:from>
      <xdr:col>83</xdr:col>
      <xdr:colOff>426720</xdr:colOff>
      <xdr:row>11</xdr:row>
      <xdr:rowOff>144780</xdr:rowOff>
    </xdr:from>
    <xdr:to>
      <xdr:col>85</xdr:col>
      <xdr:colOff>541020</xdr:colOff>
      <xdr:row>12</xdr:row>
      <xdr:rowOff>175260</xdr:rowOff>
    </xdr:to>
    <xdr:sp macro="" textlink="">
      <xdr:nvSpPr>
        <xdr:cNvPr id="17" name="TextBox 16">
          <a:extLst>
            <a:ext uri="{FF2B5EF4-FFF2-40B4-BE49-F238E27FC236}">
              <a16:creationId xmlns:a16="http://schemas.microsoft.com/office/drawing/2014/main" id="{9D722244-A0B4-1D71-72A9-F26C42BD03D9}"/>
            </a:ext>
          </a:extLst>
        </xdr:cNvPr>
        <xdr:cNvSpPr txBox="1"/>
      </xdr:nvSpPr>
      <xdr:spPr>
        <a:xfrm>
          <a:off x="51023520" y="2156460"/>
          <a:ext cx="13335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t>NO</a:t>
          </a:r>
          <a:r>
            <a:rPr lang="en-IN" sz="1400" baseline="0"/>
            <a:t> OF PATIENT</a:t>
          </a:r>
          <a:endParaRPr lang="en-IN" sz="1400"/>
        </a:p>
      </xdr:txBody>
    </xdr:sp>
    <xdr:clientData/>
  </xdr:twoCellAnchor>
  <xdr:twoCellAnchor>
    <xdr:from>
      <xdr:col>84</xdr:col>
      <xdr:colOff>182880</xdr:colOff>
      <xdr:row>9</xdr:row>
      <xdr:rowOff>144780</xdr:rowOff>
    </xdr:from>
    <xdr:to>
      <xdr:col>85</xdr:col>
      <xdr:colOff>259080</xdr:colOff>
      <xdr:row>11</xdr:row>
      <xdr:rowOff>30480</xdr:rowOff>
    </xdr:to>
    <xdr:sp macro="" textlink="'pivot report'!A10">
      <xdr:nvSpPr>
        <xdr:cNvPr id="32" name="TextBox 31">
          <a:extLst>
            <a:ext uri="{FF2B5EF4-FFF2-40B4-BE49-F238E27FC236}">
              <a16:creationId xmlns:a16="http://schemas.microsoft.com/office/drawing/2014/main" id="{95E5684F-3473-3F08-A710-CF479280821C}"/>
            </a:ext>
          </a:extLst>
        </xdr:cNvPr>
        <xdr:cNvSpPr txBox="1"/>
      </xdr:nvSpPr>
      <xdr:spPr>
        <a:xfrm>
          <a:off x="51389280" y="1790700"/>
          <a:ext cx="6858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5A9FD4AE-530E-4A23-83B2-7BA47ADE9B1F}" type="TxLink">
            <a:rPr lang="en-US" sz="2000" b="0" i="0" u="none" strike="noStrike">
              <a:solidFill>
                <a:srgbClr val="000000"/>
              </a:solidFill>
              <a:latin typeface="Aptos Narrow"/>
            </a:rPr>
            <a:pPr/>
            <a:t>464</a:t>
          </a:fld>
          <a:endParaRPr lang="en-IN" sz="2800"/>
        </a:p>
      </xdr:txBody>
    </xdr:sp>
    <xdr:clientData/>
  </xdr:twoCellAnchor>
  <xdr:twoCellAnchor>
    <xdr:from>
      <xdr:col>83</xdr:col>
      <xdr:colOff>53340</xdr:colOff>
      <xdr:row>15</xdr:row>
      <xdr:rowOff>114300</xdr:rowOff>
    </xdr:from>
    <xdr:to>
      <xdr:col>92</xdr:col>
      <xdr:colOff>289560</xdr:colOff>
      <xdr:row>21</xdr:row>
      <xdr:rowOff>53340</xdr:rowOff>
    </xdr:to>
    <xdr:sp macro="" textlink="">
      <xdr:nvSpPr>
        <xdr:cNvPr id="37" name="Rectangle: Rounded Corners 36">
          <a:extLst>
            <a:ext uri="{FF2B5EF4-FFF2-40B4-BE49-F238E27FC236}">
              <a16:creationId xmlns:a16="http://schemas.microsoft.com/office/drawing/2014/main" id="{AEF17D28-5B3A-727E-A7E2-AE26BACF2FCE}"/>
            </a:ext>
          </a:extLst>
        </xdr:cNvPr>
        <xdr:cNvSpPr/>
      </xdr:nvSpPr>
      <xdr:spPr>
        <a:xfrm>
          <a:off x="50650140" y="2857500"/>
          <a:ext cx="5722620" cy="103632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87</xdr:col>
      <xdr:colOff>198120</xdr:colOff>
      <xdr:row>9</xdr:row>
      <xdr:rowOff>121920</xdr:rowOff>
    </xdr:from>
    <xdr:to>
      <xdr:col>88</xdr:col>
      <xdr:colOff>403860</xdr:colOff>
      <xdr:row>11</xdr:row>
      <xdr:rowOff>7620</xdr:rowOff>
    </xdr:to>
    <xdr:sp macro="" textlink="'pivot report'!A13">
      <xdr:nvSpPr>
        <xdr:cNvPr id="38" name="TextBox 37">
          <a:extLst>
            <a:ext uri="{FF2B5EF4-FFF2-40B4-BE49-F238E27FC236}">
              <a16:creationId xmlns:a16="http://schemas.microsoft.com/office/drawing/2014/main" id="{5400058E-8DBE-4D4E-940F-91F7E3346BF5}"/>
            </a:ext>
          </a:extLst>
        </xdr:cNvPr>
        <xdr:cNvSpPr txBox="1"/>
      </xdr:nvSpPr>
      <xdr:spPr>
        <a:xfrm>
          <a:off x="53233320" y="1767840"/>
          <a:ext cx="8153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A3457C17-905E-47C0-A991-5A7C8D7BD856}" type="TxLink">
            <a:rPr lang="en-US" sz="2000" b="0" i="0" u="none" strike="noStrike">
              <a:solidFill>
                <a:srgbClr val="000000"/>
              </a:solidFill>
              <a:latin typeface="Aptos Narrow"/>
            </a:rPr>
            <a:pPr/>
            <a:t>35.19</a:t>
          </a:fld>
          <a:endParaRPr lang="en-IN" sz="4800"/>
        </a:p>
      </xdr:txBody>
    </xdr:sp>
    <xdr:clientData/>
  </xdr:twoCellAnchor>
  <xdr:twoCellAnchor>
    <xdr:from>
      <xdr:col>86</xdr:col>
      <xdr:colOff>518160</xdr:colOff>
      <xdr:row>11</xdr:row>
      <xdr:rowOff>129540</xdr:rowOff>
    </xdr:from>
    <xdr:to>
      <xdr:col>88</xdr:col>
      <xdr:colOff>556260</xdr:colOff>
      <xdr:row>13</xdr:row>
      <xdr:rowOff>15240</xdr:rowOff>
    </xdr:to>
    <xdr:sp macro="" textlink="">
      <xdr:nvSpPr>
        <xdr:cNvPr id="39" name="TextBox 38">
          <a:extLst>
            <a:ext uri="{FF2B5EF4-FFF2-40B4-BE49-F238E27FC236}">
              <a16:creationId xmlns:a16="http://schemas.microsoft.com/office/drawing/2014/main" id="{A30B5EF7-906F-0CFF-F10D-1CAC3D1E3411}"/>
            </a:ext>
          </a:extLst>
        </xdr:cNvPr>
        <xdr:cNvSpPr txBox="1"/>
      </xdr:nvSpPr>
      <xdr:spPr>
        <a:xfrm>
          <a:off x="52943760" y="2141220"/>
          <a:ext cx="12573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t>AVG</a:t>
          </a:r>
          <a:r>
            <a:rPr lang="en-IN" sz="1400" baseline="0"/>
            <a:t> WAIT TIME</a:t>
          </a:r>
          <a:endParaRPr lang="en-IN" sz="1400"/>
        </a:p>
      </xdr:txBody>
    </xdr:sp>
    <xdr:clientData/>
  </xdr:twoCellAnchor>
  <xdr:twoCellAnchor>
    <xdr:from>
      <xdr:col>89</xdr:col>
      <xdr:colOff>373380</xdr:colOff>
      <xdr:row>11</xdr:row>
      <xdr:rowOff>106680</xdr:rowOff>
    </xdr:from>
    <xdr:to>
      <xdr:col>92</xdr:col>
      <xdr:colOff>144780</xdr:colOff>
      <xdr:row>14</xdr:row>
      <xdr:rowOff>45720</xdr:rowOff>
    </xdr:to>
    <xdr:sp macro="" textlink="">
      <xdr:nvSpPr>
        <xdr:cNvPr id="40" name="TextBox 39">
          <a:extLst>
            <a:ext uri="{FF2B5EF4-FFF2-40B4-BE49-F238E27FC236}">
              <a16:creationId xmlns:a16="http://schemas.microsoft.com/office/drawing/2014/main" id="{B1E5E8BE-5C39-231B-452D-4A0278EAA959}"/>
            </a:ext>
          </a:extLst>
        </xdr:cNvPr>
        <xdr:cNvSpPr txBox="1"/>
      </xdr:nvSpPr>
      <xdr:spPr>
        <a:xfrm>
          <a:off x="54627780" y="2118360"/>
          <a:ext cx="160020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t>SATISFACTION</a:t>
          </a:r>
          <a:r>
            <a:rPr lang="en-IN" sz="1400" baseline="0"/>
            <a:t> SCORE</a:t>
          </a:r>
          <a:endParaRPr lang="en-IN" sz="1400"/>
        </a:p>
      </xdr:txBody>
    </xdr:sp>
    <xdr:clientData/>
  </xdr:twoCellAnchor>
  <xdr:twoCellAnchor>
    <xdr:from>
      <xdr:col>90</xdr:col>
      <xdr:colOff>266700</xdr:colOff>
      <xdr:row>9</xdr:row>
      <xdr:rowOff>114300</xdr:rowOff>
    </xdr:from>
    <xdr:to>
      <xdr:col>91</xdr:col>
      <xdr:colOff>472440</xdr:colOff>
      <xdr:row>11</xdr:row>
      <xdr:rowOff>0</xdr:rowOff>
    </xdr:to>
    <xdr:sp macro="" textlink="'pivot report'!A17">
      <xdr:nvSpPr>
        <xdr:cNvPr id="41" name="TextBox 40">
          <a:extLst>
            <a:ext uri="{FF2B5EF4-FFF2-40B4-BE49-F238E27FC236}">
              <a16:creationId xmlns:a16="http://schemas.microsoft.com/office/drawing/2014/main" id="{D2CD800F-108C-7181-A056-494BC84FBAF1}"/>
            </a:ext>
          </a:extLst>
        </xdr:cNvPr>
        <xdr:cNvSpPr txBox="1"/>
      </xdr:nvSpPr>
      <xdr:spPr>
        <a:xfrm>
          <a:off x="55130700" y="1760220"/>
          <a:ext cx="8153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2A164B1F-D6C4-465F-8398-E25912B99BA5}" type="TxLink">
            <a:rPr lang="en-US" sz="2000" b="0" i="0" u="none" strike="noStrike">
              <a:solidFill>
                <a:srgbClr val="000000"/>
              </a:solidFill>
              <a:latin typeface="Aptos Narrow"/>
            </a:rPr>
            <a:pPr/>
            <a:t>5.09</a:t>
          </a:fld>
          <a:endParaRPr lang="en-IN" sz="8000"/>
        </a:p>
      </xdr:txBody>
    </xdr:sp>
    <xdr:clientData/>
  </xdr:twoCellAnchor>
  <xdr:twoCellAnchor editAs="oneCell">
    <xdr:from>
      <xdr:col>83</xdr:col>
      <xdr:colOff>144780</xdr:colOff>
      <xdr:row>9</xdr:row>
      <xdr:rowOff>160020</xdr:rowOff>
    </xdr:from>
    <xdr:to>
      <xdr:col>83</xdr:col>
      <xdr:colOff>559525</xdr:colOff>
      <xdr:row>11</xdr:row>
      <xdr:rowOff>175260</xdr:rowOff>
    </xdr:to>
    <xdr:pic>
      <xdr:nvPicPr>
        <xdr:cNvPr id="43" name="Graphic 42" descr="Male profile with solid fill">
          <a:extLst>
            <a:ext uri="{FF2B5EF4-FFF2-40B4-BE49-F238E27FC236}">
              <a16:creationId xmlns:a16="http://schemas.microsoft.com/office/drawing/2014/main" id="{73460CCB-9FD3-F887-DF64-FF7FD01B2B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741580" y="1805940"/>
          <a:ext cx="414745" cy="381000"/>
        </a:xfrm>
        <a:prstGeom prst="rect">
          <a:avLst/>
        </a:prstGeom>
      </xdr:spPr>
    </xdr:pic>
    <xdr:clientData/>
  </xdr:twoCellAnchor>
  <xdr:twoCellAnchor editAs="oneCell">
    <xdr:from>
      <xdr:col>86</xdr:col>
      <xdr:colOff>388620</xdr:colOff>
      <xdr:row>9</xdr:row>
      <xdr:rowOff>129540</xdr:rowOff>
    </xdr:from>
    <xdr:to>
      <xdr:col>87</xdr:col>
      <xdr:colOff>121920</xdr:colOff>
      <xdr:row>11</xdr:row>
      <xdr:rowOff>106680</xdr:rowOff>
    </xdr:to>
    <xdr:pic>
      <xdr:nvPicPr>
        <xdr:cNvPr id="45" name="Graphic 44" descr="Hourglass Finished with solid fill">
          <a:extLst>
            <a:ext uri="{FF2B5EF4-FFF2-40B4-BE49-F238E27FC236}">
              <a16:creationId xmlns:a16="http://schemas.microsoft.com/office/drawing/2014/main" id="{96EF5593-AFF5-C74C-9468-21F3FAA4A10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2814220" y="1775460"/>
          <a:ext cx="342900" cy="342900"/>
        </a:xfrm>
        <a:prstGeom prst="rect">
          <a:avLst/>
        </a:prstGeom>
      </xdr:spPr>
    </xdr:pic>
    <xdr:clientData/>
  </xdr:twoCellAnchor>
  <xdr:twoCellAnchor editAs="oneCell">
    <xdr:from>
      <xdr:col>89</xdr:col>
      <xdr:colOff>358140</xdr:colOff>
      <xdr:row>9</xdr:row>
      <xdr:rowOff>144780</xdr:rowOff>
    </xdr:from>
    <xdr:to>
      <xdr:col>90</xdr:col>
      <xdr:colOff>137160</xdr:colOff>
      <xdr:row>11</xdr:row>
      <xdr:rowOff>105954</xdr:rowOff>
    </xdr:to>
    <xdr:pic>
      <xdr:nvPicPr>
        <xdr:cNvPr id="47" name="Graphic 46" descr="Bar graph with upward trend with solid fill">
          <a:extLst>
            <a:ext uri="{FF2B5EF4-FFF2-40B4-BE49-F238E27FC236}">
              <a16:creationId xmlns:a16="http://schemas.microsoft.com/office/drawing/2014/main" id="{049106EA-5836-5C08-E774-3993BC0D9CF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612540" y="1790700"/>
          <a:ext cx="388620" cy="326934"/>
        </a:xfrm>
        <a:prstGeom prst="rect">
          <a:avLst/>
        </a:prstGeom>
      </xdr:spPr>
    </xdr:pic>
    <xdr:clientData/>
  </xdr:twoCellAnchor>
  <xdr:twoCellAnchor editAs="oneCell">
    <xdr:from>
      <xdr:col>81</xdr:col>
      <xdr:colOff>297180</xdr:colOff>
      <xdr:row>10</xdr:row>
      <xdr:rowOff>30480</xdr:rowOff>
    </xdr:from>
    <xdr:to>
      <xdr:col>82</xdr:col>
      <xdr:colOff>487680</xdr:colOff>
      <xdr:row>32</xdr:row>
      <xdr:rowOff>53340</xdr:rowOff>
    </xdr:to>
    <mc:AlternateContent xmlns:mc="http://schemas.openxmlformats.org/markup-compatibility/2006" xmlns:a14="http://schemas.microsoft.com/office/drawing/2010/main">
      <mc:Choice Requires="a14">
        <xdr:graphicFrame macro="">
          <xdr:nvGraphicFramePr>
            <xdr:cNvPr id="49" name="Date (Month) 1">
              <a:extLst>
                <a:ext uri="{FF2B5EF4-FFF2-40B4-BE49-F238E27FC236}">
                  <a16:creationId xmlns:a16="http://schemas.microsoft.com/office/drawing/2014/main" id="{7C9C033B-A384-4559-B9C0-D8FC84F82008}"/>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49674780" y="1859280"/>
              <a:ext cx="800100" cy="4046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82</xdr:col>
      <xdr:colOff>449580</xdr:colOff>
      <xdr:row>12</xdr:row>
      <xdr:rowOff>106680</xdr:rowOff>
    </xdr:from>
    <xdr:to>
      <xdr:col>86</xdr:col>
      <xdr:colOff>373380</xdr:colOff>
      <xdr:row>18</xdr:row>
      <xdr:rowOff>167640</xdr:rowOff>
    </xdr:to>
    <xdr:graphicFrame macro="">
      <xdr:nvGraphicFramePr>
        <xdr:cNvPr id="50" name="Chart 49">
          <a:extLst>
            <a:ext uri="{FF2B5EF4-FFF2-40B4-BE49-F238E27FC236}">
              <a16:creationId xmlns:a16="http://schemas.microsoft.com/office/drawing/2014/main" id="{8EBBF9BC-4216-4812-80E3-6E73AD48C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86</xdr:col>
      <xdr:colOff>53340</xdr:colOff>
      <xdr:row>12</xdr:row>
      <xdr:rowOff>175260</xdr:rowOff>
    </xdr:from>
    <xdr:to>
      <xdr:col>89</xdr:col>
      <xdr:colOff>251460</xdr:colOff>
      <xdr:row>15</xdr:row>
      <xdr:rowOff>152400</xdr:rowOff>
    </xdr:to>
    <xdr:graphicFrame macro="">
      <xdr:nvGraphicFramePr>
        <xdr:cNvPr id="51" name="Chart 50">
          <a:extLst>
            <a:ext uri="{FF2B5EF4-FFF2-40B4-BE49-F238E27FC236}">
              <a16:creationId xmlns:a16="http://schemas.microsoft.com/office/drawing/2014/main" id="{8F7C430E-0ABA-4E9A-9D37-91809148E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89</xdr:col>
      <xdr:colOff>175260</xdr:colOff>
      <xdr:row>11</xdr:row>
      <xdr:rowOff>91440</xdr:rowOff>
    </xdr:from>
    <xdr:to>
      <xdr:col>92</xdr:col>
      <xdr:colOff>213360</xdr:colOff>
      <xdr:row>15</xdr:row>
      <xdr:rowOff>15240</xdr:rowOff>
    </xdr:to>
    <xdr:graphicFrame macro="">
      <xdr:nvGraphicFramePr>
        <xdr:cNvPr id="52" name="Chart 51">
          <a:extLst>
            <a:ext uri="{FF2B5EF4-FFF2-40B4-BE49-F238E27FC236}">
              <a16:creationId xmlns:a16="http://schemas.microsoft.com/office/drawing/2014/main" id="{52E244C4-155B-416B-8701-0BEA4CAF5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83</xdr:col>
      <xdr:colOff>182880</xdr:colOff>
      <xdr:row>16</xdr:row>
      <xdr:rowOff>15304</xdr:rowOff>
    </xdr:from>
    <xdr:to>
      <xdr:col>92</xdr:col>
      <xdr:colOff>91440</xdr:colOff>
      <xdr:row>21</xdr:row>
      <xdr:rowOff>7620</xdr:rowOff>
    </xdr:to>
    <xdr:pic>
      <xdr:nvPicPr>
        <xdr:cNvPr id="54" name="Picture 53">
          <a:extLst>
            <a:ext uri="{FF2B5EF4-FFF2-40B4-BE49-F238E27FC236}">
              <a16:creationId xmlns:a16="http://schemas.microsoft.com/office/drawing/2014/main" id="{E4816EE0-ACEC-4C9F-63FB-005D2C5F346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779680" y="2941384"/>
          <a:ext cx="5394960" cy="9067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81</xdr:col>
      <xdr:colOff>243840</xdr:colOff>
      <xdr:row>4</xdr:row>
      <xdr:rowOff>152400</xdr:rowOff>
    </xdr:from>
    <xdr:to>
      <xdr:col>82</xdr:col>
      <xdr:colOff>144780</xdr:colOff>
      <xdr:row>7</xdr:row>
      <xdr:rowOff>114300</xdr:rowOff>
    </xdr:to>
    <xdr:pic>
      <xdr:nvPicPr>
        <xdr:cNvPr id="56" name="Graphic 55" descr="Medical with solid fill">
          <a:extLst>
            <a:ext uri="{FF2B5EF4-FFF2-40B4-BE49-F238E27FC236}">
              <a16:creationId xmlns:a16="http://schemas.microsoft.com/office/drawing/2014/main" id="{23E14A9B-786A-DD71-E8A6-B0EE41DF377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9621440" y="883920"/>
          <a:ext cx="510540" cy="510540"/>
        </a:xfrm>
        <a:prstGeom prst="rect">
          <a:avLst/>
        </a:prstGeom>
      </xdr:spPr>
    </xdr:pic>
    <xdr:clientData/>
  </xdr:twoCellAnchor>
  <xdr:twoCellAnchor>
    <xdr:from>
      <xdr:col>83</xdr:col>
      <xdr:colOff>160020</xdr:colOff>
      <xdr:row>21</xdr:row>
      <xdr:rowOff>175260</xdr:rowOff>
    </xdr:from>
    <xdr:to>
      <xdr:col>90</xdr:col>
      <xdr:colOff>518160</xdr:colOff>
      <xdr:row>32</xdr:row>
      <xdr:rowOff>129540</xdr:rowOff>
    </xdr:to>
    <xdr:graphicFrame macro="">
      <xdr:nvGraphicFramePr>
        <xdr:cNvPr id="59" name="Chart 58">
          <a:extLst>
            <a:ext uri="{FF2B5EF4-FFF2-40B4-BE49-F238E27FC236}">
              <a16:creationId xmlns:a16="http://schemas.microsoft.com/office/drawing/2014/main" id="{103B810A-BDFA-4CB3-AAA5-43B684173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90</xdr:col>
      <xdr:colOff>601980</xdr:colOff>
      <xdr:row>22</xdr:row>
      <xdr:rowOff>38100</xdr:rowOff>
    </xdr:from>
    <xdr:to>
      <xdr:col>92</xdr:col>
      <xdr:colOff>304800</xdr:colOff>
      <xdr:row>32</xdr:row>
      <xdr:rowOff>152400</xdr:rowOff>
    </xdr:to>
    <xdr:sp macro="" textlink="">
      <xdr:nvSpPr>
        <xdr:cNvPr id="60" name="TextBox 59">
          <a:extLst>
            <a:ext uri="{FF2B5EF4-FFF2-40B4-BE49-F238E27FC236}">
              <a16:creationId xmlns:a16="http://schemas.microsoft.com/office/drawing/2014/main" id="{1F58DE19-0FCC-B01F-018C-7B976F14864D}"/>
            </a:ext>
          </a:extLst>
        </xdr:cNvPr>
        <xdr:cNvSpPr txBox="1"/>
      </xdr:nvSpPr>
      <xdr:spPr>
        <a:xfrm rot="16200000">
          <a:off x="54955440" y="4572000"/>
          <a:ext cx="1943100" cy="922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NO OF PATIENTBY AGE GROUP</a:t>
          </a:r>
        </a:p>
      </xdr:txBody>
    </xdr:sp>
    <xdr:clientData/>
  </xdr:twoCellAnchor>
  <xdr:twoCellAnchor>
    <xdr:from>
      <xdr:col>92</xdr:col>
      <xdr:colOff>403860</xdr:colOff>
      <xdr:row>4</xdr:row>
      <xdr:rowOff>22860</xdr:rowOff>
    </xdr:from>
    <xdr:to>
      <xdr:col>97</xdr:col>
      <xdr:colOff>114300</xdr:colOff>
      <xdr:row>13</xdr:row>
      <xdr:rowOff>144780</xdr:rowOff>
    </xdr:to>
    <xdr:graphicFrame macro="">
      <xdr:nvGraphicFramePr>
        <xdr:cNvPr id="61" name="Chart 60">
          <a:extLst>
            <a:ext uri="{FF2B5EF4-FFF2-40B4-BE49-F238E27FC236}">
              <a16:creationId xmlns:a16="http://schemas.microsoft.com/office/drawing/2014/main" id="{DEB48225-19DE-4284-BBCD-0F22354FAE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92</xdr:col>
      <xdr:colOff>365760</xdr:colOff>
      <xdr:row>13</xdr:row>
      <xdr:rowOff>91440</xdr:rowOff>
    </xdr:from>
    <xdr:to>
      <xdr:col>97</xdr:col>
      <xdr:colOff>281940</xdr:colOff>
      <xdr:row>15</xdr:row>
      <xdr:rowOff>68580</xdr:rowOff>
    </xdr:to>
    <xdr:sp macro="" textlink="">
      <xdr:nvSpPr>
        <xdr:cNvPr id="62" name="TextBox 61">
          <a:extLst>
            <a:ext uri="{FF2B5EF4-FFF2-40B4-BE49-F238E27FC236}">
              <a16:creationId xmlns:a16="http://schemas.microsoft.com/office/drawing/2014/main" id="{E18CD7F4-F546-6C79-14E0-2D5574658D89}"/>
            </a:ext>
          </a:extLst>
        </xdr:cNvPr>
        <xdr:cNvSpPr txBox="1"/>
      </xdr:nvSpPr>
      <xdr:spPr>
        <a:xfrm>
          <a:off x="56448960" y="2468880"/>
          <a:ext cx="29641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patients attendend</a:t>
          </a:r>
          <a:r>
            <a:rPr lang="en-IN" sz="1800" baseline="0"/>
            <a:t> within time</a:t>
          </a:r>
          <a:endParaRPr lang="en-IN" sz="1800"/>
        </a:p>
      </xdr:txBody>
    </xdr:sp>
    <xdr:clientData/>
  </xdr:twoCellAnchor>
  <xdr:twoCellAnchor>
    <xdr:from>
      <xdr:col>97</xdr:col>
      <xdr:colOff>274320</xdr:colOff>
      <xdr:row>4</xdr:row>
      <xdr:rowOff>38100</xdr:rowOff>
    </xdr:from>
    <xdr:to>
      <xdr:col>101</xdr:col>
      <xdr:colOff>579120</xdr:colOff>
      <xdr:row>14</xdr:row>
      <xdr:rowOff>106680</xdr:rowOff>
    </xdr:to>
    <xdr:graphicFrame macro="">
      <xdr:nvGraphicFramePr>
        <xdr:cNvPr id="63" name="Chart 62">
          <a:extLst>
            <a:ext uri="{FF2B5EF4-FFF2-40B4-BE49-F238E27FC236}">
              <a16:creationId xmlns:a16="http://schemas.microsoft.com/office/drawing/2014/main" id="{6A05A961-3794-48AB-B062-C7BA1F56A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97</xdr:col>
      <xdr:colOff>601980</xdr:colOff>
      <xdr:row>13</xdr:row>
      <xdr:rowOff>60960</xdr:rowOff>
    </xdr:from>
    <xdr:to>
      <xdr:col>101</xdr:col>
      <xdr:colOff>571500</xdr:colOff>
      <xdr:row>15</xdr:row>
      <xdr:rowOff>53340</xdr:rowOff>
    </xdr:to>
    <xdr:sp macro="" textlink="">
      <xdr:nvSpPr>
        <xdr:cNvPr id="64" name="TextBox 63">
          <a:extLst>
            <a:ext uri="{FF2B5EF4-FFF2-40B4-BE49-F238E27FC236}">
              <a16:creationId xmlns:a16="http://schemas.microsoft.com/office/drawing/2014/main" id="{8B393CFA-805B-C5A5-001B-54937C63F4BE}"/>
            </a:ext>
          </a:extLst>
        </xdr:cNvPr>
        <xdr:cNvSpPr txBox="1"/>
      </xdr:nvSpPr>
      <xdr:spPr>
        <a:xfrm>
          <a:off x="59733180" y="2438400"/>
          <a:ext cx="24079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gender wise analysis</a:t>
          </a:r>
        </a:p>
      </xdr:txBody>
    </xdr:sp>
    <xdr:clientData/>
  </xdr:twoCellAnchor>
  <xdr:twoCellAnchor>
    <xdr:from>
      <xdr:col>93</xdr:col>
      <xdr:colOff>22860</xdr:colOff>
      <xdr:row>17</xdr:row>
      <xdr:rowOff>7620</xdr:rowOff>
    </xdr:from>
    <xdr:to>
      <xdr:col>102</xdr:col>
      <xdr:colOff>167640</xdr:colOff>
      <xdr:row>30</xdr:row>
      <xdr:rowOff>22860</xdr:rowOff>
    </xdr:to>
    <xdr:graphicFrame macro="">
      <xdr:nvGraphicFramePr>
        <xdr:cNvPr id="66" name="Chart 65">
          <a:extLst>
            <a:ext uri="{FF2B5EF4-FFF2-40B4-BE49-F238E27FC236}">
              <a16:creationId xmlns:a16="http://schemas.microsoft.com/office/drawing/2014/main" id="{021E6754-F3DF-4AD1-A131-3E78ECD95D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93</xdr:col>
      <xdr:colOff>213360</xdr:colOff>
      <xdr:row>29</xdr:row>
      <xdr:rowOff>167640</xdr:rowOff>
    </xdr:from>
    <xdr:to>
      <xdr:col>102</xdr:col>
      <xdr:colOff>213360</xdr:colOff>
      <xdr:row>32</xdr:row>
      <xdr:rowOff>106680</xdr:rowOff>
    </xdr:to>
    <xdr:sp macro="" textlink="">
      <xdr:nvSpPr>
        <xdr:cNvPr id="67" name="TextBox 66">
          <a:extLst>
            <a:ext uri="{FF2B5EF4-FFF2-40B4-BE49-F238E27FC236}">
              <a16:creationId xmlns:a16="http://schemas.microsoft.com/office/drawing/2014/main" id="{32618BE2-ABC8-FD4E-91A7-2D226AA0127B}"/>
            </a:ext>
          </a:extLst>
        </xdr:cNvPr>
        <xdr:cNvSpPr txBox="1"/>
      </xdr:nvSpPr>
      <xdr:spPr>
        <a:xfrm>
          <a:off x="56906160" y="5471160"/>
          <a:ext cx="548640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no of patients by department referal</a:t>
          </a:r>
        </a:p>
      </xdr:txBody>
    </xdr:sp>
    <xdr:clientData/>
  </xdr:twoCellAnchor>
  <xdr:twoCellAnchor editAs="oneCell">
    <xdr:from>
      <xdr:col>88</xdr:col>
      <xdr:colOff>472440</xdr:colOff>
      <xdr:row>4</xdr:row>
      <xdr:rowOff>68580</xdr:rowOff>
    </xdr:from>
    <xdr:to>
      <xdr:col>91</xdr:col>
      <xdr:colOff>381000</xdr:colOff>
      <xdr:row>9</xdr:row>
      <xdr:rowOff>30480</xdr:rowOff>
    </xdr:to>
    <mc:AlternateContent xmlns:mc="http://schemas.openxmlformats.org/markup-compatibility/2006" xmlns:a14="http://schemas.microsoft.com/office/drawing/2010/main">
      <mc:Choice Requires="a14">
        <xdr:graphicFrame macro="">
          <xdr:nvGraphicFramePr>
            <xdr:cNvPr id="68" name="Date (Year)">
              <a:extLst>
                <a:ext uri="{FF2B5EF4-FFF2-40B4-BE49-F238E27FC236}">
                  <a16:creationId xmlns:a16="http://schemas.microsoft.com/office/drawing/2014/main" id="{398CA873-2A7A-4A69-B268-55155CD95F0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4117240" y="800100"/>
              <a:ext cx="173736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86</xdr:col>
      <xdr:colOff>434340</xdr:colOff>
      <xdr:row>1</xdr:row>
      <xdr:rowOff>0</xdr:rowOff>
    </xdr:from>
    <xdr:to>
      <xdr:col>95</xdr:col>
      <xdr:colOff>68580</xdr:colOff>
      <xdr:row>3</xdr:row>
      <xdr:rowOff>91440</xdr:rowOff>
    </xdr:to>
    <xdr:sp macro="" textlink="">
      <xdr:nvSpPr>
        <xdr:cNvPr id="18" name="TextBox 17">
          <a:extLst>
            <a:ext uri="{FF2B5EF4-FFF2-40B4-BE49-F238E27FC236}">
              <a16:creationId xmlns:a16="http://schemas.microsoft.com/office/drawing/2014/main" id="{90791047-8FF8-58C7-F354-F54953107B4E}"/>
            </a:ext>
          </a:extLst>
        </xdr:cNvPr>
        <xdr:cNvSpPr txBox="1"/>
      </xdr:nvSpPr>
      <xdr:spPr>
        <a:xfrm>
          <a:off x="52859940" y="182880"/>
          <a:ext cx="512064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END TO END DASHBOARD PROJECT IN EXCEL</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refreshedDate="46210.475283796295" createdVersion="5" refreshedVersion="8" minRefreshableVersion="3" recordCount="0" supportSubquery="1" supportAdvancedDrill="1" xr:uid="{9D0C3A59-F3B8-4449-A5AC-0BB2751BE9D6}">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refreshedDate="46210.475283912034" createdVersion="5" refreshedVersion="8" minRefreshableVersion="3" recordCount="0" supportSubquery="1" supportAdvancedDrill="1" xr:uid="{570A7EEF-DC8B-4550-B831-F0734AF3E022}">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refreshedDate="46210.475284143518" createdVersion="5" refreshedVersion="8" minRefreshableVersion="3" recordCount="0" supportSubquery="1" supportAdvancedDrill="1" xr:uid="{70592E76-3C5D-4A7B-B05C-88268D4428C3}">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refreshedDate="46210.475284259257" createdVersion="5" refreshedVersion="8" minRefreshableVersion="3" recordCount="0" supportSubquery="1" supportAdvancedDrill="1" xr:uid="{93EE6E54-40FE-4DF2-AFC9-70276D9690D1}">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refreshedDate="46210.475284953704" createdVersion="5" refreshedVersion="8" minRefreshableVersion="3" recordCount="0" supportSubquery="1" supportAdvancedDrill="1" xr:uid="{21679417-4FC2-4370-B8C6-52AF856618FE}">
  <cacheSource type="external" connectionId="3"/>
  <cacheFields count="4">
    <cacheField name="[Calender_table].[Date (Day)].[Date (Day)]" caption="Date (Day)" numFmtId="0" hierarchy="2" level="1">
      <sharedItems count="61">
        <s v="1-Nov"/>
        <s v="2-Nov"/>
        <s v="3-Nov"/>
        <s v="4-Nov"/>
        <s v="5-Nov"/>
        <s v="6-Nov"/>
        <s v="7-Nov"/>
        <s v="8-Nov"/>
        <s v="9-Nov"/>
        <s v="10-Nov"/>
        <s v="11-Nov"/>
        <s v="12-Nov"/>
        <s v="13-Nov"/>
        <s v="14-Nov"/>
        <s v="15-Nov"/>
        <s v="16-Nov"/>
        <s v="17-Nov"/>
        <s v="18-Nov"/>
        <s v="19-Nov"/>
        <s v="20-Nov"/>
        <s v="21-Nov"/>
        <s v="22-Nov"/>
        <s v="23-Nov"/>
        <s v="24-Nov"/>
        <s v="25-Nov"/>
        <s v="26-Nov"/>
        <s v="27-Nov"/>
        <s v="28-Nov"/>
        <s v="29-Nov"/>
        <s v="30-Nov"/>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refreshedDate="46210.475285416665" createdVersion="5" refreshedVersion="8" minRefreshableVersion="3" recordCount="0" supportSubquery="1" supportAdvancedDrill="1" xr:uid="{9CAEF88C-B89F-436E-8C85-A48ECF4DCCDA}">
  <cacheSource type="external" connectionId="3"/>
  <cacheFields count="4">
    <cacheField name="[Calender_table].[Date (Day)].[Date (Day)]" caption="Date (Day)" numFmtId="0" hierarchy="2"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refreshedDate="46210.475285763889" createdVersion="5" refreshedVersion="8" minRefreshableVersion="3" recordCount="0" supportSubquery="1" supportAdvancedDrill="1" xr:uid="{93AAC8B8-8D22-4AE7-B9C4-0EDA2989DF17}">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er_table].[Date (Year)].[Date (Year)]" caption="Date (Year)" numFmtId="0" hierarchy="3"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refreshedDate="46210.475286111112" createdVersion="5" refreshedVersion="8" minRefreshableVersion="3" recordCount="0" supportSubquery="1" supportAdvancedDrill="1" xr:uid="{79E22DFC-26B9-461B-9519-50CE0E09B1B1}">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3"/>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refreshedDate="46210.475286458335" createdVersion="5" refreshedVersion="8" minRefreshableVersion="3" recordCount="0" supportSubquery="1" supportAdvancedDrill="1" xr:uid="{C015B7F1-AC04-4C4D-A3F1-31B5C760A664}">
  <cacheSource type="external" connectionId="3"/>
  <cacheFields count="4">
    <cacheField name="[Calende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Calculated Column 1].[Calculated Column 1]" caption="Calculated Column 1" numFmtId="0" hierarchy="17" level="1">
      <sharedItems count="2">
        <s v="Delay"/>
        <s v="ontime"/>
      </sharedItems>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refreshedDate="46210.475287152774" createdVersion="5" refreshedVersion="8" minRefreshableVersion="3" recordCount="0" supportSubquery="1" supportAdvancedDrill="1" xr:uid="{EA81BFB0-6F69-4833-A0A8-95A5E55192BD}">
  <cacheSource type="external" connectionId="3"/>
  <cacheFields count="4">
    <cacheField name="[Calender_table].[Date (Month)].[Date (Month)]" caption="Date (Month)" numFmtId="0" hierarchy="1" level="1">
      <sharedItems containsSemiMixedTypes="0" containsNonDate="0" containsString="0"/>
    </cacheField>
    <cacheField name="[Measures].[Count of Patient Gender]" caption="Count of Patient Gender" numFmtId="0" hierarchy="31" level="32767"/>
    <cacheField name="[Hospital Emergency Room Data].[Patient Gender].[Patient Gender]" caption="Patient Gender" numFmtId="0" hierarchy="9" level="1">
      <sharedItems count="2">
        <s v="Female"/>
        <s v="Male"/>
      </sharedItems>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refreshedDate="46210.475287731482" createdVersion="5" refreshedVersion="8" minRefreshableVersion="3" recordCount="0" supportSubquery="1" supportAdvancedDrill="1" xr:uid="{3A49E671-0C76-4470-BA2C-556378B3EB58}">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refreshedDate="46210.475288310183" createdVersion="5" refreshedVersion="8" minRefreshableVersion="3" recordCount="0" supportSubquery="1" supportAdvancedDrill="1" xr:uid="{86B04F10-2A18-4FB8-B86D-4CD570CFAA22}">
  <cacheSource type="external" connectionId="3"/>
  <cacheFields count="6">
    <cacheField name="[Calender_table].[Date (Month)].[Date (Month)]" caption="Date (Month)" numFmtId="0" hierarchy="1" level="1">
      <sharedItems count="1">
        <s v="Nov"/>
      </sharedItems>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er_table].[Date].[Date]" caption="Date" numFmtId="0" level="1">
      <sharedItems containsSemiMixedTypes="0" containsNonDate="0" containsDate="1" containsString="0" minDate="2023-11-01T00:00:00" maxDate="2023-12-01T00:00:00" count="30">
        <d v="2023-11-06T00:00:00"/>
        <d v="2023-11-11T00:00:00"/>
        <d v="2023-11-15T00:00:00"/>
        <d v="2023-11-17T00:00:00"/>
        <d v="2023-11-18T00:00:00"/>
        <d v="2023-11-19T00:00:00"/>
        <d v="2023-11-20T00:00:00"/>
        <d v="2023-11-21T00:00:00"/>
        <d v="2023-11-24T00:00:00"/>
        <d v="2023-11-27T00:00:00"/>
        <d v="2023-11-30T00:00:00"/>
        <d v="2023-11-01T00:00:00"/>
        <d v="2023-11-02T00:00:00"/>
        <d v="2023-11-09T00:00:00"/>
        <d v="2023-11-10T00:00:00"/>
        <d v="2023-11-13T00:00:00"/>
        <d v="2023-11-16T00:00:00"/>
        <d v="2023-11-26T00:00:00"/>
        <d v="2023-11-03T00:00:00"/>
        <d v="2023-11-04T00:00:00"/>
        <d v="2023-11-05T00:00:00"/>
        <d v="2023-11-07T00:00:00"/>
        <d v="2023-11-08T00:00:00"/>
        <d v="2023-11-12T00:00:00"/>
        <d v="2023-11-14T00:00:00"/>
        <d v="2023-11-22T00:00:00"/>
        <d v="2023-11-23T00:00:00"/>
        <d v="2023-11-25T00:00:00"/>
        <d v="2023-11-28T00:00:00"/>
        <d v="2023-11-29T00:00:00"/>
      </sharedItems>
    </cacheField>
    <cacheField name="[Calender_table].[Date (Day)].[Date (Day)]" caption="Date (Day)" numFmtId="0" hierarchy="2" level="1">
      <sharedItems count="30">
        <s v="6-Nov"/>
        <s v="11-Nov"/>
        <s v="15-Nov"/>
        <s v="17-Nov"/>
        <s v="18-Nov"/>
        <s v="19-Nov"/>
        <s v="20-Nov"/>
        <s v="21-Nov"/>
        <s v="24-Nov"/>
        <s v="27-Nov"/>
        <s v="30-Nov"/>
        <s v="1-Nov"/>
        <s v="2-Nov"/>
        <s v="9-Nov"/>
        <s v="10-Nov"/>
        <s v="13-Nov"/>
        <s v="16-Nov"/>
        <s v="26-Nov"/>
        <s v="3-Nov"/>
        <s v="4-Nov"/>
        <s v="5-Nov"/>
        <s v="7-Nov"/>
        <s v="8-Nov"/>
        <s v="12-Nov"/>
        <s v="14-Nov"/>
        <s v="22-Nov"/>
        <s v="23-Nov"/>
        <s v="25-Nov"/>
        <s v="28-Nov"/>
        <s v="29-Nov"/>
      </sharedItems>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3"/>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4"/>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5"/>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refreshedDate="46210.475288773145" createdVersion="5" refreshedVersion="8" minRefreshableVersion="3" recordCount="0" supportSubquery="1" supportAdvancedDrill="1" xr:uid="{7A90D9CF-0C45-428B-A723-BE83609612FA}">
  <cacheSource type="external" connectionId="3"/>
  <cacheFields count="4">
    <cacheField name="[Calender_table].[Date (Month)].[Date (Month)]" caption="Date (Month)" numFmtId="0" hierarchy="1" level="1">
      <sharedItems count="1">
        <s v="Jan"/>
      </sharedItems>
    </cacheField>
    <cacheField name="[Cale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3"/>
      </sharedItems>
    </cacheField>
  </cacheFields>
  <cacheHierarchies count="33">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eha" refreshedDate="46062.90909872685" createdVersion="3" refreshedVersion="8" minRefreshableVersion="3" recordCount="0" supportSubquery="1" supportAdvancedDrill="1" xr:uid="{F61C17E7-635E-427C-9289-422B20FFF8CB}">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010060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BFB146-9011-4634-96B0-1B543F9A3233}" name="PivotTable7" cacheId="307" applyNumberFormats="0" applyBorderFormats="0" applyFontFormats="0" applyPatternFormats="0" applyAlignmentFormats="0" applyWidthHeightFormats="1" dataCaption="Values" tag="a81e7644-7b86-4375-b409-b1aba51f0a2c" updatedVersion="8" minRefreshableVersion="3" subtotalHiddenItems="1" itemPrintTitles="1" createdVersion="5" indent="0" outline="1" outlineData="1" multipleFieldFilters="0" chartFormat="4">
  <location ref="A21:C2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4">
    <format dxfId="147">
      <pivotArea outline="0" collapsedLevelsAreSubtotals="1" fieldPosition="0"/>
    </format>
    <format dxfId="146">
      <pivotArea collapsedLevelsAreSubtotals="1" fieldPosition="0">
        <references count="1">
          <reference field="1" count="1">
            <x v="0"/>
          </reference>
        </references>
      </pivotArea>
    </format>
    <format dxfId="145">
      <pivotArea collapsedLevelsAreSubtotals="1" fieldPosition="0">
        <references count="1">
          <reference field="1" count="1">
            <x v="1"/>
          </reference>
        </references>
      </pivotArea>
    </format>
    <format dxfId="144">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D517DD-18D9-4D43-8165-C3CEA4A3F49F}" name="PivotTable12" cacheId="322" applyNumberFormats="0" applyBorderFormats="0" applyFontFormats="0" applyPatternFormats="0" applyAlignmentFormats="0" applyWidthHeightFormats="1" dataCaption="Values" tag="05b092df-2cfc-4d32-8246-932546a01466" updatedVersion="8" minRefreshableVersion="3" subtotalHiddenItems="1" itemPrintTitles="1" createdVersion="5" indent="0" outline="1" outlineData="1" multipleFieldFilters="0" chartFormat="28">
  <location ref="G63:H447" firstHeaderRow="1" firstDataRow="1" firstDataCol="1"/>
  <pivotFields count="6">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4">
    <field x="1"/>
    <field x="3"/>
    <field x="0"/>
    <field x="4"/>
  </rowFields>
  <rowItems count="384">
    <i>
      <x/>
    </i>
    <i r="1">
      <x/>
    </i>
    <i r="2">
      <x/>
    </i>
    <i r="3">
      <x/>
    </i>
    <i r="1">
      <x v="1"/>
    </i>
    <i r="2">
      <x/>
    </i>
    <i r="3">
      <x v="1"/>
    </i>
    <i r="1">
      <x v="2"/>
    </i>
    <i r="2">
      <x/>
    </i>
    <i r="3">
      <x v="2"/>
    </i>
    <i r="1">
      <x v="3"/>
    </i>
    <i r="2">
      <x/>
    </i>
    <i r="3">
      <x v="3"/>
    </i>
    <i r="1">
      <x v="4"/>
    </i>
    <i r="2">
      <x/>
    </i>
    <i r="3">
      <x v="4"/>
    </i>
    <i r="1">
      <x v="5"/>
    </i>
    <i r="2">
      <x/>
    </i>
    <i r="3">
      <x v="5"/>
    </i>
    <i r="1">
      <x v="6"/>
    </i>
    <i r="2">
      <x/>
    </i>
    <i r="3">
      <x v="6"/>
    </i>
    <i r="1">
      <x v="7"/>
    </i>
    <i r="2">
      <x/>
    </i>
    <i r="3">
      <x v="7"/>
    </i>
    <i r="1">
      <x v="8"/>
    </i>
    <i r="2">
      <x/>
    </i>
    <i r="3">
      <x v="8"/>
    </i>
    <i r="1">
      <x v="9"/>
    </i>
    <i r="2">
      <x/>
    </i>
    <i r="3">
      <x v="9"/>
    </i>
    <i r="1">
      <x v="10"/>
    </i>
    <i r="2">
      <x/>
    </i>
    <i r="3">
      <x v="10"/>
    </i>
    <i>
      <x v="1"/>
    </i>
    <i r="1">
      <x v="11"/>
    </i>
    <i r="2">
      <x/>
    </i>
    <i r="3">
      <x v="11"/>
    </i>
    <i r="1">
      <x v="12"/>
    </i>
    <i r="2">
      <x/>
    </i>
    <i r="3">
      <x v="12"/>
    </i>
    <i r="1">
      <x v="13"/>
    </i>
    <i r="2">
      <x/>
    </i>
    <i r="3">
      <x v="13"/>
    </i>
    <i r="1">
      <x v="14"/>
    </i>
    <i r="2">
      <x/>
    </i>
    <i r="3">
      <x v="14"/>
    </i>
    <i r="1">
      <x v="1"/>
    </i>
    <i r="2">
      <x/>
    </i>
    <i r="3">
      <x v="1"/>
    </i>
    <i r="1">
      <x v="15"/>
    </i>
    <i r="2">
      <x/>
    </i>
    <i r="3">
      <x v="15"/>
    </i>
    <i r="1">
      <x v="16"/>
    </i>
    <i r="2">
      <x/>
    </i>
    <i r="3">
      <x v="16"/>
    </i>
    <i r="1">
      <x v="4"/>
    </i>
    <i r="2">
      <x/>
    </i>
    <i r="3">
      <x v="4"/>
    </i>
    <i r="1">
      <x v="8"/>
    </i>
    <i r="2">
      <x/>
    </i>
    <i r="3">
      <x v="8"/>
    </i>
    <i r="1">
      <x v="17"/>
    </i>
    <i r="2">
      <x/>
    </i>
    <i r="3">
      <x v="17"/>
    </i>
    <i r="1">
      <x v="9"/>
    </i>
    <i r="2">
      <x/>
    </i>
    <i r="3">
      <x v="9"/>
    </i>
    <i r="1">
      <x v="10"/>
    </i>
    <i r="2">
      <x/>
    </i>
    <i r="3">
      <x v="10"/>
    </i>
    <i>
      <x v="2"/>
    </i>
    <i r="1">
      <x v="11"/>
    </i>
    <i r="2">
      <x/>
    </i>
    <i r="3">
      <x v="11"/>
    </i>
    <i r="1">
      <x v="12"/>
    </i>
    <i r="2">
      <x/>
    </i>
    <i r="3">
      <x v="12"/>
    </i>
    <i r="1">
      <x v="18"/>
    </i>
    <i r="2">
      <x/>
    </i>
    <i r="3">
      <x v="18"/>
    </i>
    <i r="1">
      <x v="19"/>
    </i>
    <i r="2">
      <x/>
    </i>
    <i r="3">
      <x v="19"/>
    </i>
    <i r="1">
      <x v="20"/>
    </i>
    <i r="2">
      <x/>
    </i>
    <i r="3">
      <x v="20"/>
    </i>
    <i r="1">
      <x/>
    </i>
    <i r="2">
      <x/>
    </i>
    <i r="3">
      <x/>
    </i>
    <i r="1">
      <x v="21"/>
    </i>
    <i r="2">
      <x/>
    </i>
    <i r="3">
      <x v="21"/>
    </i>
    <i r="1">
      <x v="22"/>
    </i>
    <i r="2">
      <x/>
    </i>
    <i r="3">
      <x v="22"/>
    </i>
    <i r="1">
      <x v="13"/>
    </i>
    <i r="2">
      <x/>
    </i>
    <i r="3">
      <x v="13"/>
    </i>
    <i r="1">
      <x v="14"/>
    </i>
    <i r="2">
      <x/>
    </i>
    <i r="3">
      <x v="14"/>
    </i>
    <i r="1">
      <x v="1"/>
    </i>
    <i r="2">
      <x/>
    </i>
    <i r="3">
      <x v="1"/>
    </i>
    <i r="1">
      <x v="23"/>
    </i>
    <i r="2">
      <x/>
    </i>
    <i r="3">
      <x v="23"/>
    </i>
    <i r="1">
      <x v="15"/>
    </i>
    <i r="2">
      <x/>
    </i>
    <i r="3">
      <x v="15"/>
    </i>
    <i r="1">
      <x v="24"/>
    </i>
    <i r="2">
      <x/>
    </i>
    <i r="3">
      <x v="24"/>
    </i>
    <i r="1">
      <x v="2"/>
    </i>
    <i r="2">
      <x/>
    </i>
    <i r="3">
      <x v="2"/>
    </i>
    <i r="1">
      <x v="16"/>
    </i>
    <i r="2">
      <x/>
    </i>
    <i r="3">
      <x v="16"/>
    </i>
    <i r="1">
      <x v="3"/>
    </i>
    <i r="2">
      <x/>
    </i>
    <i r="3">
      <x v="3"/>
    </i>
    <i r="1">
      <x v="4"/>
    </i>
    <i r="2">
      <x/>
    </i>
    <i r="3">
      <x v="4"/>
    </i>
    <i r="1">
      <x v="6"/>
    </i>
    <i r="2">
      <x/>
    </i>
    <i r="3">
      <x v="6"/>
    </i>
    <i r="1">
      <x v="7"/>
    </i>
    <i r="2">
      <x/>
    </i>
    <i r="3">
      <x v="7"/>
    </i>
    <i r="1">
      <x v="25"/>
    </i>
    <i r="2">
      <x/>
    </i>
    <i r="3">
      <x v="25"/>
    </i>
    <i r="1">
      <x v="26"/>
    </i>
    <i r="2">
      <x/>
    </i>
    <i r="3">
      <x v="26"/>
    </i>
    <i r="1">
      <x v="8"/>
    </i>
    <i r="2">
      <x/>
    </i>
    <i r="3">
      <x v="8"/>
    </i>
    <i r="1">
      <x v="27"/>
    </i>
    <i r="2">
      <x/>
    </i>
    <i r="3">
      <x v="27"/>
    </i>
    <i r="1">
      <x v="17"/>
    </i>
    <i r="2">
      <x/>
    </i>
    <i r="3">
      <x v="17"/>
    </i>
    <i r="1">
      <x v="9"/>
    </i>
    <i r="2">
      <x/>
    </i>
    <i r="3">
      <x v="9"/>
    </i>
    <i r="1">
      <x v="28"/>
    </i>
    <i r="2">
      <x/>
    </i>
    <i r="3">
      <x v="28"/>
    </i>
    <i r="1">
      <x v="29"/>
    </i>
    <i r="2">
      <x/>
    </i>
    <i r="3">
      <x v="29"/>
    </i>
    <i r="1">
      <x v="10"/>
    </i>
    <i r="2">
      <x/>
    </i>
    <i r="3">
      <x v="10"/>
    </i>
    <i>
      <x v="3"/>
    </i>
    <i r="1">
      <x v="19"/>
    </i>
    <i r="2">
      <x/>
    </i>
    <i r="3">
      <x v="19"/>
    </i>
    <i r="1">
      <x v="21"/>
    </i>
    <i r="2">
      <x/>
    </i>
    <i r="3">
      <x v="21"/>
    </i>
    <i r="1">
      <x v="2"/>
    </i>
    <i r="2">
      <x/>
    </i>
    <i r="3">
      <x v="2"/>
    </i>
    <i r="1">
      <x v="6"/>
    </i>
    <i r="2">
      <x/>
    </i>
    <i r="3">
      <x v="6"/>
    </i>
    <i r="1">
      <x v="26"/>
    </i>
    <i r="2">
      <x/>
    </i>
    <i r="3">
      <x v="26"/>
    </i>
    <i>
      <x v="4"/>
    </i>
    <i r="1">
      <x v="11"/>
    </i>
    <i r="2">
      <x/>
    </i>
    <i r="3">
      <x v="11"/>
    </i>
    <i r="1">
      <x v="12"/>
    </i>
    <i r="2">
      <x/>
    </i>
    <i r="3">
      <x v="12"/>
    </i>
    <i r="1">
      <x v="18"/>
    </i>
    <i r="2">
      <x/>
    </i>
    <i r="3">
      <x v="18"/>
    </i>
    <i r="1">
      <x v="19"/>
    </i>
    <i r="2">
      <x/>
    </i>
    <i r="3">
      <x v="19"/>
    </i>
    <i r="1">
      <x v="20"/>
    </i>
    <i r="2">
      <x/>
    </i>
    <i r="3">
      <x v="20"/>
    </i>
    <i r="1">
      <x/>
    </i>
    <i r="2">
      <x/>
    </i>
    <i r="3">
      <x/>
    </i>
    <i r="1">
      <x v="21"/>
    </i>
    <i r="2">
      <x/>
    </i>
    <i r="3">
      <x v="21"/>
    </i>
    <i r="1">
      <x v="22"/>
    </i>
    <i r="2">
      <x/>
    </i>
    <i r="3">
      <x v="22"/>
    </i>
    <i r="1">
      <x v="13"/>
    </i>
    <i r="2">
      <x/>
    </i>
    <i r="3">
      <x v="13"/>
    </i>
    <i r="1">
      <x v="14"/>
    </i>
    <i r="2">
      <x/>
    </i>
    <i r="3">
      <x v="14"/>
    </i>
    <i r="1">
      <x v="1"/>
    </i>
    <i r="2">
      <x/>
    </i>
    <i r="3">
      <x v="1"/>
    </i>
    <i r="1">
      <x v="23"/>
    </i>
    <i r="2">
      <x/>
    </i>
    <i r="3">
      <x v="23"/>
    </i>
    <i r="1">
      <x v="15"/>
    </i>
    <i r="2">
      <x/>
    </i>
    <i r="3">
      <x v="15"/>
    </i>
    <i r="1">
      <x v="24"/>
    </i>
    <i r="2">
      <x/>
    </i>
    <i r="3">
      <x v="24"/>
    </i>
    <i r="1">
      <x v="2"/>
    </i>
    <i r="2">
      <x/>
    </i>
    <i r="3">
      <x v="2"/>
    </i>
    <i r="1">
      <x v="16"/>
    </i>
    <i r="2">
      <x/>
    </i>
    <i r="3">
      <x v="16"/>
    </i>
    <i r="1">
      <x v="3"/>
    </i>
    <i r="2">
      <x/>
    </i>
    <i r="3">
      <x v="3"/>
    </i>
    <i r="1">
      <x v="4"/>
    </i>
    <i r="2">
      <x/>
    </i>
    <i r="3">
      <x v="4"/>
    </i>
    <i r="1">
      <x v="5"/>
    </i>
    <i r="2">
      <x/>
    </i>
    <i r="3">
      <x v="5"/>
    </i>
    <i r="1">
      <x v="6"/>
    </i>
    <i r="2">
      <x/>
    </i>
    <i r="3">
      <x v="6"/>
    </i>
    <i r="1">
      <x v="7"/>
    </i>
    <i r="2">
      <x/>
    </i>
    <i r="3">
      <x v="7"/>
    </i>
    <i r="1">
      <x v="25"/>
    </i>
    <i r="2">
      <x/>
    </i>
    <i r="3">
      <x v="25"/>
    </i>
    <i r="1">
      <x v="26"/>
    </i>
    <i r="2">
      <x/>
    </i>
    <i r="3">
      <x v="26"/>
    </i>
    <i r="1">
      <x v="8"/>
    </i>
    <i r="2">
      <x/>
    </i>
    <i r="3">
      <x v="8"/>
    </i>
    <i r="1">
      <x v="27"/>
    </i>
    <i r="2">
      <x/>
    </i>
    <i r="3">
      <x v="27"/>
    </i>
    <i r="1">
      <x v="17"/>
    </i>
    <i r="2">
      <x/>
    </i>
    <i r="3">
      <x v="17"/>
    </i>
    <i r="1">
      <x v="9"/>
    </i>
    <i r="2">
      <x/>
    </i>
    <i r="3">
      <x v="9"/>
    </i>
    <i r="1">
      <x v="28"/>
    </i>
    <i r="2">
      <x/>
    </i>
    <i r="3">
      <x v="28"/>
    </i>
    <i r="1">
      <x v="29"/>
    </i>
    <i r="2">
      <x/>
    </i>
    <i r="3">
      <x v="29"/>
    </i>
    <i r="1">
      <x v="10"/>
    </i>
    <i r="2">
      <x/>
    </i>
    <i r="3">
      <x v="10"/>
    </i>
    <i>
      <x v="5"/>
    </i>
    <i r="1">
      <x v="11"/>
    </i>
    <i r="2">
      <x/>
    </i>
    <i r="3">
      <x v="11"/>
    </i>
    <i r="1">
      <x v="12"/>
    </i>
    <i r="2">
      <x/>
    </i>
    <i r="3">
      <x v="12"/>
    </i>
    <i r="1">
      <x v="18"/>
    </i>
    <i r="2">
      <x/>
    </i>
    <i r="3">
      <x v="18"/>
    </i>
    <i r="1">
      <x/>
    </i>
    <i r="2">
      <x/>
    </i>
    <i r="3">
      <x/>
    </i>
    <i r="1">
      <x v="22"/>
    </i>
    <i r="2">
      <x/>
    </i>
    <i r="3">
      <x v="22"/>
    </i>
    <i r="1">
      <x v="13"/>
    </i>
    <i r="2">
      <x/>
    </i>
    <i r="3">
      <x v="13"/>
    </i>
    <i r="1">
      <x v="14"/>
    </i>
    <i r="2">
      <x/>
    </i>
    <i r="3">
      <x v="14"/>
    </i>
    <i r="1">
      <x v="1"/>
    </i>
    <i r="2">
      <x/>
    </i>
    <i r="3">
      <x v="1"/>
    </i>
    <i r="1">
      <x v="23"/>
    </i>
    <i r="2">
      <x/>
    </i>
    <i r="3">
      <x v="23"/>
    </i>
    <i r="1">
      <x v="15"/>
    </i>
    <i r="2">
      <x/>
    </i>
    <i r="3">
      <x v="15"/>
    </i>
    <i r="1">
      <x v="24"/>
    </i>
    <i r="2">
      <x/>
    </i>
    <i r="3">
      <x v="24"/>
    </i>
    <i r="1">
      <x v="2"/>
    </i>
    <i r="2">
      <x/>
    </i>
    <i r="3">
      <x v="2"/>
    </i>
    <i r="1">
      <x v="3"/>
    </i>
    <i r="2">
      <x/>
    </i>
    <i r="3">
      <x v="3"/>
    </i>
    <i r="1">
      <x v="4"/>
    </i>
    <i r="2">
      <x/>
    </i>
    <i r="3">
      <x v="4"/>
    </i>
    <i r="1">
      <x v="5"/>
    </i>
    <i r="2">
      <x/>
    </i>
    <i r="3">
      <x v="5"/>
    </i>
    <i r="1">
      <x v="6"/>
    </i>
    <i r="2">
      <x/>
    </i>
    <i r="3">
      <x v="6"/>
    </i>
    <i r="1">
      <x v="7"/>
    </i>
    <i r="2">
      <x/>
    </i>
    <i r="3">
      <x v="7"/>
    </i>
    <i r="1">
      <x v="25"/>
    </i>
    <i r="2">
      <x/>
    </i>
    <i r="3">
      <x v="25"/>
    </i>
    <i r="1">
      <x v="26"/>
    </i>
    <i r="2">
      <x/>
    </i>
    <i r="3">
      <x v="26"/>
    </i>
    <i r="1">
      <x v="8"/>
    </i>
    <i r="2">
      <x/>
    </i>
    <i r="3">
      <x v="8"/>
    </i>
    <i r="1">
      <x v="27"/>
    </i>
    <i r="2">
      <x/>
    </i>
    <i r="3">
      <x v="27"/>
    </i>
    <i r="1">
      <x v="17"/>
    </i>
    <i r="2">
      <x/>
    </i>
    <i r="3">
      <x v="17"/>
    </i>
    <i r="1">
      <x v="9"/>
    </i>
    <i r="2">
      <x/>
    </i>
    <i r="3">
      <x v="9"/>
    </i>
    <i r="1">
      <x v="29"/>
    </i>
    <i r="2">
      <x/>
    </i>
    <i r="3">
      <x v="29"/>
    </i>
    <i r="1">
      <x v="10"/>
    </i>
    <i r="2">
      <x/>
    </i>
    <i r="3">
      <x v="10"/>
    </i>
    <i>
      <x v="6"/>
    </i>
    <i r="1">
      <x v="11"/>
    </i>
    <i r="2">
      <x/>
    </i>
    <i r="3">
      <x v="11"/>
    </i>
    <i r="1">
      <x v="19"/>
    </i>
    <i r="2">
      <x/>
    </i>
    <i r="3">
      <x v="19"/>
    </i>
    <i r="1">
      <x v="20"/>
    </i>
    <i r="2">
      <x/>
    </i>
    <i r="3">
      <x v="20"/>
    </i>
    <i r="1">
      <x/>
    </i>
    <i r="2">
      <x/>
    </i>
    <i r="3">
      <x/>
    </i>
    <i r="1">
      <x v="13"/>
    </i>
    <i r="2">
      <x/>
    </i>
    <i r="3">
      <x v="13"/>
    </i>
    <i r="1">
      <x v="1"/>
    </i>
    <i r="2">
      <x/>
    </i>
    <i r="3">
      <x v="1"/>
    </i>
    <i r="1">
      <x v="15"/>
    </i>
    <i r="2">
      <x/>
    </i>
    <i r="3">
      <x v="15"/>
    </i>
    <i r="1">
      <x v="7"/>
    </i>
    <i r="2">
      <x/>
    </i>
    <i r="3">
      <x v="7"/>
    </i>
    <i r="1">
      <x v="27"/>
    </i>
    <i r="2">
      <x/>
    </i>
    <i r="3">
      <x v="27"/>
    </i>
    <i r="1">
      <x v="17"/>
    </i>
    <i r="2">
      <x/>
    </i>
    <i r="3">
      <x v="17"/>
    </i>
    <i r="1">
      <x v="28"/>
    </i>
    <i r="2">
      <x/>
    </i>
    <i r="3">
      <x v="28"/>
    </i>
    <i r="1">
      <x v="10"/>
    </i>
    <i r="2">
      <x/>
    </i>
    <i r="3">
      <x v="10"/>
    </i>
    <i>
      <x v="7"/>
    </i>
    <i r="1">
      <x v="27"/>
    </i>
    <i r="2">
      <x/>
    </i>
    <i r="3">
      <x v="27"/>
    </i>
    <i t="grand">
      <x/>
    </i>
  </rowItems>
  <colItems count="1">
    <i/>
  </colItems>
  <dataFields count="1">
    <dataField name="Count of Department Referral" fld="2" subtotal="count" baseField="0" baseItem="0"/>
  </dataFields>
  <formats count="1">
    <format dxfId="148">
      <pivotArea outline="0" collapsedLevelsAreSubtotals="1" fieldPosition="0"/>
    </format>
  </formats>
  <chartFormats count="3">
    <chartFormat chart="21"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2"/>
    <rowHierarchyUsage hierarchyUsage="0"/>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D48270-3120-45C3-AD65-AAFBE05EDB10}" name="PivotTable5" cacheId="301" applyNumberFormats="0" applyBorderFormats="0" applyFontFormats="0" applyPatternFormats="0" applyAlignmentFormats="0" applyWidthHeightFormats="1" dataCaption="Values" tag="3c62550e-c1c6-4961-abec-d2219f318e30" updatedVersion="8" minRefreshableVersion="3" subtotalHiddenItems="1" itemPrintTitles="1" createdVersion="5" indent="0" outline="1" outlineData="1" multipleFieldFilters="0" chartFormat="7">
  <location ref="H18:I49" firstHeaderRow="1" firstDataRow="1" firstDataCol="1"/>
  <pivotFields count="4">
    <pivotField axis="axisRow" allDrilled="1" subtotalTop="0" showAll="0" dataSourceSort="1"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3">
    <format dxfId="151">
      <pivotArea collapsedLevelsAreSubtotals="1" fieldPosition="0">
        <references count="1">
          <reference field="0" count="1">
            <x v="30"/>
          </reference>
        </references>
      </pivotArea>
    </format>
    <format dxfId="150">
      <pivotArea collapsedLevelsAreSubtotals="1" fieldPosition="0">
        <references count="1">
          <reference field="0" count="30">
            <x v="31"/>
            <x v="32"/>
            <x v="33"/>
            <x v="34"/>
            <x v="35"/>
            <x v="36"/>
            <x v="37"/>
            <x v="38"/>
            <x v="39"/>
            <x v="40"/>
            <x v="41"/>
            <x v="42"/>
            <x v="43"/>
            <x v="44"/>
            <x v="45"/>
            <x v="46"/>
            <x v="47"/>
            <x v="48"/>
            <x v="49"/>
            <x v="50"/>
            <x v="51"/>
            <x v="52"/>
            <x v="53"/>
            <x v="54"/>
            <x v="55"/>
            <x v="56"/>
            <x v="57"/>
            <x v="58"/>
            <x v="59"/>
            <x v="60"/>
          </reference>
        </references>
      </pivotArea>
    </format>
    <format dxfId="149">
      <pivotArea grandRow="1"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23567E-A461-4807-AF9E-E96A06805185}" name="PivotTable6" cacheId="304" applyNumberFormats="0" applyBorderFormats="0" applyFontFormats="0" applyPatternFormats="0" applyAlignmentFormats="0" applyWidthHeightFormats="1" dataCaption="Values" tag="552470cf-98b2-432c-a39d-3e028c6f058a" updatedVersion="8" minRefreshableVersion="3" subtotalHiddenItems="1" itemPrintTitles="1" createdVersion="5" indent="0" outline="1" outlineData="1" multipleFieldFilters="0" chartFormat="8">
  <location ref="K11:L42"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chartFormats count="1">
    <chartFormat chart="7"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F03FEC-B662-4A66-B446-054DA7621AB8}" name="PivotTable9" cacheId="313" applyNumberFormats="0" applyBorderFormats="0" applyFontFormats="0" applyPatternFormats="0" applyAlignmentFormats="0" applyWidthHeightFormats="1" dataCaption="Values" tag="5d2c1bea-7ee6-4eff-8b1c-43e5f2de84b3" updatedVersion="8" minRefreshableVersion="3" subtotalHiddenItems="1" itemPrintTitles="1" createdVersion="5" indent="0" outline="1" outlineData="1" multipleFieldFilters="0" chartFormat="21">
  <location ref="C52:D5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numFmtId="1"/>
  </dataFields>
  <formats count="1">
    <format dxfId="152">
      <pivotArea outline="0" collapsedLevelsAreSubtotals="1" fieldPosition="0"/>
    </format>
  </formats>
  <chartFormats count="3">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2" count="1" selected="0">
            <x v="0"/>
          </reference>
        </references>
      </pivotArea>
    </chartFormat>
    <chartFormat chart="18" format="6">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6A2ECB-EE84-49E5-9FC5-9CA64EAB5D5D}" name="PivotTable8" cacheId="310" applyNumberFormats="0" applyBorderFormats="0" applyFontFormats="0" applyPatternFormats="0" applyAlignmentFormats="0" applyWidthHeightFormats="1" dataCaption="Values" tag="6a350a0a-9bd2-460d-ac1a-168fb98a65e6" updatedVersion="8" minRefreshableVersion="3" subtotalHiddenItems="1" itemPrintTitles="1" createdVersion="5" indent="0" outline="1" outlineData="1" multipleFieldFilters="0" chartFormat="16">
  <location ref="A31:B50" firstHeaderRow="1"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2">
    <field x="1"/>
    <field x="2"/>
  </rowFields>
  <rowItems count="19">
    <i>
      <x/>
    </i>
    <i r="1">
      <x/>
    </i>
    <i r="1">
      <x v="1"/>
    </i>
    <i r="1">
      <x v="2"/>
    </i>
    <i r="1">
      <x v="3"/>
    </i>
    <i r="1">
      <x v="4"/>
    </i>
    <i r="1">
      <x v="5"/>
    </i>
    <i r="1">
      <x v="6"/>
    </i>
    <i r="1">
      <x v="7"/>
    </i>
    <i>
      <x v="1"/>
    </i>
    <i r="1">
      <x/>
    </i>
    <i r="1">
      <x v="1"/>
    </i>
    <i r="1">
      <x v="2"/>
    </i>
    <i r="1">
      <x v="3"/>
    </i>
    <i r="1">
      <x v="4"/>
    </i>
    <i r="1">
      <x v="5"/>
    </i>
    <i r="1">
      <x v="6"/>
    </i>
    <i r="1">
      <x v="7"/>
    </i>
    <i t="grand">
      <x/>
    </i>
  </rowItems>
  <colItems count="1">
    <i/>
  </colItems>
  <dataFields count="1">
    <dataField name="Count of Age Group" fld="3" subtotal="count" baseField="0" baseItem="0"/>
  </dataFields>
  <formats count="4">
    <format dxfId="156">
      <pivotArea outline="0" collapsedLevelsAreSubtotals="1" fieldPosition="0"/>
    </format>
    <format dxfId="155">
      <pivotArea collapsedLevelsAreSubtotals="1" fieldPosition="0">
        <references count="1">
          <reference field="1" count="1">
            <x v="0"/>
          </reference>
        </references>
      </pivotArea>
    </format>
    <format dxfId="154">
      <pivotArea collapsedLevelsAreSubtotals="1" fieldPosition="0">
        <references count="1">
          <reference field="1" count="1">
            <x v="1"/>
          </reference>
        </references>
      </pivotArea>
    </format>
    <format dxfId="153">
      <pivotArea collapsedLevelsAreSubtotals="1" fieldPosition="0">
        <references count="2">
          <reference field="1" count="1" selected="0">
            <x v="0"/>
          </reference>
          <reference field="2" count="0"/>
        </references>
      </pivotArea>
    </format>
  </formats>
  <chartFormats count="1">
    <chartFormat chart="15"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E54B55-3AA4-4D4D-ADE1-01CC59514A4B}" name="PivotTable1" cacheId="292" applyNumberFormats="0" applyBorderFormats="0" applyFontFormats="0" applyPatternFormats="0" applyAlignmentFormats="0" applyWidthHeightFormats="1" dataCaption="Values" tag="2060b4e6-4b34-4363-afd4-615a78992c5a"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57">
      <pivotArea outline="0" collapsedLevelsAreSubtotals="1" fieldPosition="0"/>
    </format>
  </formats>
  <pivotHierarchies count="33">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5A743D-6284-42A1-B898-036D293835C7}" name="PivotTable2" cacheId="295" applyNumberFormats="0" applyBorderFormats="0" applyFontFormats="0" applyPatternFormats="0" applyAlignmentFormats="0" applyWidthHeightFormats="1" dataCaption="Values" tag="2aacc5ae-c861-4287-bc6b-84faa64b2182"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AC99F2-C5B1-4E78-8857-5FD2CE254975}" name="PivotTable13" cacheId="325" applyNumberFormats="0" applyBorderFormats="0" applyFontFormats="0" applyPatternFormats="0" applyAlignmentFormats="0" applyWidthHeightFormats="1" dataCaption="Values" tag="a59d17cc-5d9d-4b02-9736-0f3ed2107db2" updatedVersion="8" minRefreshableVersion="3" subtotalHiddenItems="1" itemPrintTitles="1" createdVersion="5" indent="0" outline="1" outlineData="1" multipleFieldFilters="0" chartFormat="28">
  <location ref="C79:C81"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58">
      <pivotArea outline="0" collapsedLevelsAreSubtotals="1" fieldPosition="0"/>
    </format>
  </formats>
  <pivotHierarchies count="33">
    <pivotHierarchy dragToData="1"/>
    <pivotHierarchy multipleItemSelectionAllowed="1" dragToData="1">
      <members count="1" level="1">
        <member name="[Calender_table].[Date (Month)].&amp;[Nov]"/>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62E2DB-C84C-45C8-8BC7-E764EB1992CC}" name="PivotTable10" cacheId="316" applyNumberFormats="0" applyBorderFormats="0" applyFontFormats="0" applyPatternFormats="0" applyAlignmentFormats="0" applyWidthHeightFormats="1" dataCaption="Values" tag="b210b575-78b9-45c4-9955-dad811c8491d" updatedVersion="8" minRefreshableVersion="3" subtotalHiddenItems="1" itemPrintTitles="1" createdVersion="5" indent="0" outline="1" outlineData="1" multipleFieldFilters="0" chartFormat="25">
  <location ref="G56:H59"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159">
      <pivotArea outline="0" collapsedLevelsAreSubtotals="1" fieldPosition="0"/>
    </format>
  </formats>
  <chartFormats count="3">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2" count="1" selected="0">
            <x v="0"/>
          </reference>
        </references>
      </pivotArea>
    </chartFormat>
    <chartFormat chart="23" format="6">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0B34583-37AE-4E46-94FE-FAFD72D1145D}" name="PivotTable4" cacheId="289" applyNumberFormats="0" applyBorderFormats="0" applyFontFormats="0" applyPatternFormats="0" applyAlignmentFormats="0" applyWidthHeightFormats="1" dataCaption="Values" tag="c1f40411-c578-438c-9338-d252f80a48fa" updatedVersion="8" minRefreshableVersion="3" subtotalHiddenItems="1" itemPrintTitles="1" createdVersion="5" indent="0" outline="1" outlineData="1" multipleFieldFilters="0" chartFormat="4">
  <location ref="E10:F41"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1">
    <chartFormat chart="3"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F15677D-7CD4-4107-BA21-0738D4FC219D}" name="PivotTable3" cacheId="298" applyNumberFormats="0" applyBorderFormats="0" applyFontFormats="0" applyPatternFormats="0" applyAlignmentFormats="0" applyWidthHeightFormats="1" dataCaption="Values" tag="28fb5f06-65c6-4078-a96a-fdfdc755e3d5" updatedVersion="8" minRefreshableVersion="3" subtotalHiddenItems="1" itemPrintTitles="1" createdVersion="5" indent="0" outline="1" outlineData="1" multipleFieldFilters="0">
  <location ref="A16:A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60">
      <pivotArea outline="0" collapsedLevelsAreSubtotals="1" fieldPosition="0"/>
    </format>
  </formats>
  <pivotHierarchies count="33">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15DD106-194A-44F1-9AB6-DE342AF0E28C}" name="PivotTable11" cacheId="319" applyNumberFormats="0" applyBorderFormats="0" applyFontFormats="0" applyPatternFormats="0" applyAlignmentFormats="0" applyWidthHeightFormats="1" dataCaption="Values" tag="e1241a67-4bd2-4dfe-b300-030d4a13b2ed" updatedVersion="8" minRefreshableVersion="3" subtotalHiddenItems="1" itemPrintTitles="1" createdVersion="5" indent="0" outline="1" outlineData="1" multipleFieldFilters="0" chartFormat="28">
  <location ref="C62:D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formats count="1">
    <format dxfId="161">
      <pivotArea outline="0" collapsedLevelsAreSubtotals="1" fieldPosition="0"/>
    </format>
  </formats>
  <chartFormats count="1">
    <chartFormat chart="26"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CE59B8C-40D2-4469-B8D8-3B945AB01DE7}"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s>
  <data>
    <olap pivotCacheId="70100602">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Nov]"/>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E82FC74-CE2B-427E-A882-5384FFADF77B}" sourceName="[Calende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70100602">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C5E6282-EDDC-4582-84DC-389528836D81}" cache="Slicer_Date__Month" caption="Date (Month)"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C7A27FDC-AC60-4FEF-9221-8A96017B8360}" cache="Slicer_Date__Month" caption="Date (Month)" showCaption="0" level="1" style="SlicerStyleDark6" rowHeight="247650"/>
  <slicer name="Date (Year)" xr10:uid="{0EA8AC04-955F-451C-9C20-36C738BEE420}" cache="Slicer_Date__Year" caption="Date (Year)"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B91BF-962F-4F60-B52D-D495BC80F564}">
  <dimension ref="A1:L447"/>
  <sheetViews>
    <sheetView workbookViewId="0">
      <selection activeCell="B1" sqref="B1:B1048576"/>
    </sheetView>
  </sheetViews>
  <sheetFormatPr defaultRowHeight="14.4" x14ac:dyDescent="0.3"/>
  <cols>
    <col min="1" max="1" width="17.109375" customWidth="1"/>
    <col min="2" max="2" width="7.5546875" customWidth="1"/>
    <col min="3" max="3" width="8.5546875" customWidth="1"/>
    <col min="4" max="4" width="40.6640625" customWidth="1"/>
    <col min="5" max="5" width="24.6640625" customWidth="1"/>
    <col min="10" max="10" width="14.33203125" customWidth="1"/>
    <col min="11" max="11" width="14.109375" customWidth="1"/>
  </cols>
  <sheetData>
    <row r="1" spans="1:12" ht="24" customHeight="1" x14ac:dyDescent="0.3"/>
    <row r="8" spans="1:12" x14ac:dyDescent="0.3">
      <c r="A8" t="s">
        <v>2</v>
      </c>
    </row>
    <row r="9" spans="1:12" x14ac:dyDescent="0.3">
      <c r="A9" t="s">
        <v>1</v>
      </c>
    </row>
    <row r="10" spans="1:12" x14ac:dyDescent="0.3">
      <c r="A10" s="13">
        <v>464</v>
      </c>
      <c r="E10" s="1" t="s">
        <v>5</v>
      </c>
      <c r="F10" t="s">
        <v>1</v>
      </c>
    </row>
    <row r="11" spans="1:12" x14ac:dyDescent="0.3">
      <c r="E11" s="4" t="s">
        <v>38</v>
      </c>
      <c r="F11" s="13">
        <v>17</v>
      </c>
      <c r="K11" s="1" t="s">
        <v>5</v>
      </c>
      <c r="L11" t="s">
        <v>4</v>
      </c>
    </row>
    <row r="12" spans="1:12" x14ac:dyDescent="0.3">
      <c r="A12" t="s">
        <v>3</v>
      </c>
      <c r="E12" s="4" t="s">
        <v>39</v>
      </c>
      <c r="F12" s="13">
        <v>12</v>
      </c>
      <c r="K12" s="4" t="s">
        <v>38</v>
      </c>
      <c r="L12" s="13">
        <v>4.666666666666667</v>
      </c>
    </row>
    <row r="13" spans="1:12" x14ac:dyDescent="0.3">
      <c r="A13" s="2">
        <v>35.185344827586206</v>
      </c>
      <c r="E13" s="4" t="s">
        <v>40</v>
      </c>
      <c r="F13" s="13">
        <v>14</v>
      </c>
      <c r="K13" s="4" t="s">
        <v>39</v>
      </c>
      <c r="L13" s="13">
        <v>4.666666666666667</v>
      </c>
    </row>
    <row r="14" spans="1:12" x14ac:dyDescent="0.3">
      <c r="E14" s="4" t="s">
        <v>41</v>
      </c>
      <c r="F14" s="13">
        <v>17</v>
      </c>
      <c r="K14" s="4" t="s">
        <v>40</v>
      </c>
      <c r="L14" s="13">
        <v>5.4</v>
      </c>
    </row>
    <row r="15" spans="1:12" x14ac:dyDescent="0.3">
      <c r="E15" s="4" t="s">
        <v>42</v>
      </c>
      <c r="F15" s="13">
        <v>17</v>
      </c>
      <c r="K15" s="4" t="s">
        <v>41</v>
      </c>
      <c r="L15" s="13">
        <v>5.2</v>
      </c>
    </row>
    <row r="16" spans="1:12" x14ac:dyDescent="0.3">
      <c r="A16" t="s">
        <v>4</v>
      </c>
      <c r="E16" s="4" t="s">
        <v>43</v>
      </c>
      <c r="F16" s="13">
        <v>16</v>
      </c>
      <c r="K16" s="4" t="s">
        <v>42</v>
      </c>
      <c r="L16" s="13">
        <v>2.4285714285714284</v>
      </c>
    </row>
    <row r="17" spans="1:12" x14ac:dyDescent="0.3">
      <c r="A17" s="2">
        <v>5.0928571428571425</v>
      </c>
      <c r="E17" s="4" t="s">
        <v>44</v>
      </c>
      <c r="F17" s="13">
        <v>19</v>
      </c>
      <c r="K17" s="4" t="s">
        <v>43</v>
      </c>
      <c r="L17" s="13">
        <v>4.8</v>
      </c>
    </row>
    <row r="18" spans="1:12" x14ac:dyDescent="0.3">
      <c r="E18" s="4" t="s">
        <v>45</v>
      </c>
      <c r="F18" s="13">
        <v>14</v>
      </c>
      <c r="H18" s="1" t="s">
        <v>5</v>
      </c>
      <c r="I18" t="s">
        <v>3</v>
      </c>
      <c r="K18" s="4" t="s">
        <v>44</v>
      </c>
      <c r="L18" s="13">
        <v>6.5714285714285712</v>
      </c>
    </row>
    <row r="19" spans="1:12" x14ac:dyDescent="0.3">
      <c r="E19" s="4" t="s">
        <v>46</v>
      </c>
      <c r="F19" s="13">
        <v>17</v>
      </c>
      <c r="H19" s="4" t="s">
        <v>38</v>
      </c>
      <c r="I19" s="13">
        <v>35.117647058823529</v>
      </c>
      <c r="K19" s="4" t="s">
        <v>45</v>
      </c>
      <c r="L19" s="13">
        <v>3</v>
      </c>
    </row>
    <row r="20" spans="1:12" x14ac:dyDescent="0.3">
      <c r="E20" s="4" t="s">
        <v>47</v>
      </c>
      <c r="F20" s="13">
        <v>13</v>
      </c>
      <c r="H20" s="4" t="s">
        <v>39</v>
      </c>
      <c r="I20" s="13">
        <v>28.916666666666668</v>
      </c>
      <c r="K20" s="4" t="s">
        <v>46</v>
      </c>
      <c r="L20" s="13">
        <v>4.5999999999999996</v>
      </c>
    </row>
    <row r="21" spans="1:12" x14ac:dyDescent="0.3">
      <c r="A21" s="1" t="s">
        <v>5</v>
      </c>
      <c r="B21" t="s">
        <v>9</v>
      </c>
      <c r="C21" t="s">
        <v>10</v>
      </c>
      <c r="E21" s="4" t="s">
        <v>48</v>
      </c>
      <c r="F21" s="13">
        <v>12</v>
      </c>
      <c r="H21" s="4" t="s">
        <v>40</v>
      </c>
      <c r="I21" s="13">
        <v>34.357142857142854</v>
      </c>
      <c r="K21" s="4" t="s">
        <v>47</v>
      </c>
      <c r="L21" s="13">
        <v>3.875</v>
      </c>
    </row>
    <row r="22" spans="1:12" x14ac:dyDescent="0.3">
      <c r="A22" s="4" t="s">
        <v>7</v>
      </c>
      <c r="B22" s="7">
        <v>231</v>
      </c>
      <c r="C22" s="8">
        <v>0.49784482758620691</v>
      </c>
      <c r="E22" s="4" t="s">
        <v>49</v>
      </c>
      <c r="F22" s="13">
        <v>16</v>
      </c>
      <c r="H22" s="4" t="s">
        <v>41</v>
      </c>
      <c r="I22" s="13">
        <v>29.705882352941178</v>
      </c>
      <c r="K22" s="4" t="s">
        <v>48</v>
      </c>
      <c r="L22" s="13">
        <v>7.25</v>
      </c>
    </row>
    <row r="23" spans="1:12" x14ac:dyDescent="0.3">
      <c r="A23" s="4" t="s">
        <v>8</v>
      </c>
      <c r="B23" s="7">
        <v>233</v>
      </c>
      <c r="C23" s="8">
        <v>0.50215517241379315</v>
      </c>
      <c r="E23" s="4" t="s">
        <v>50</v>
      </c>
      <c r="F23" s="13">
        <v>9</v>
      </c>
      <c r="H23" s="4" t="s">
        <v>42</v>
      </c>
      <c r="I23" s="13">
        <v>33.176470588235297</v>
      </c>
      <c r="K23" s="4" t="s">
        <v>49</v>
      </c>
      <c r="L23" s="13">
        <v>3</v>
      </c>
    </row>
    <row r="24" spans="1:12" x14ac:dyDescent="0.3">
      <c r="A24" s="4" t="s">
        <v>6</v>
      </c>
      <c r="B24" s="2">
        <v>464</v>
      </c>
      <c r="C24" s="8">
        <v>1</v>
      </c>
      <c r="E24" s="4" t="s">
        <v>51</v>
      </c>
      <c r="F24" s="13">
        <v>17</v>
      </c>
      <c r="H24" s="4" t="s">
        <v>43</v>
      </c>
      <c r="I24" s="13">
        <v>39.8125</v>
      </c>
      <c r="K24" s="4" t="s">
        <v>50</v>
      </c>
      <c r="L24" s="13">
        <v>8</v>
      </c>
    </row>
    <row r="25" spans="1:12" x14ac:dyDescent="0.3">
      <c r="E25" s="4" t="s">
        <v>52</v>
      </c>
      <c r="F25" s="13">
        <v>16</v>
      </c>
      <c r="H25" s="4" t="s">
        <v>44</v>
      </c>
      <c r="I25" s="13">
        <v>36.578947368421055</v>
      </c>
      <c r="K25" s="4" t="s">
        <v>51</v>
      </c>
      <c r="L25" s="13">
        <v>6</v>
      </c>
    </row>
    <row r="26" spans="1:12" x14ac:dyDescent="0.3">
      <c r="E26" s="4" t="s">
        <v>53</v>
      </c>
      <c r="F26" s="13">
        <v>17</v>
      </c>
      <c r="H26" s="4" t="s">
        <v>45</v>
      </c>
      <c r="I26" s="13">
        <v>34.5</v>
      </c>
      <c r="K26" s="4" t="s">
        <v>52</v>
      </c>
      <c r="L26" s="13">
        <v>3.6666666666666665</v>
      </c>
    </row>
    <row r="27" spans="1:12" x14ac:dyDescent="0.3">
      <c r="E27" s="4" t="s">
        <v>54</v>
      </c>
      <c r="F27" s="13">
        <v>21</v>
      </c>
      <c r="H27" s="4" t="s">
        <v>46</v>
      </c>
      <c r="I27" s="13">
        <v>39.764705882352942</v>
      </c>
      <c r="K27" s="4" t="s">
        <v>53</v>
      </c>
      <c r="L27" s="13">
        <v>5.333333333333333</v>
      </c>
    </row>
    <row r="28" spans="1:12" x14ac:dyDescent="0.3">
      <c r="E28" s="4" t="s">
        <v>55</v>
      </c>
      <c r="F28" s="13">
        <v>15</v>
      </c>
      <c r="H28" s="4" t="s">
        <v>47</v>
      </c>
      <c r="I28" s="13">
        <v>35.230769230769234</v>
      </c>
      <c r="K28" s="4" t="s">
        <v>54</v>
      </c>
      <c r="L28" s="13">
        <v>6.1111111111111107</v>
      </c>
    </row>
    <row r="29" spans="1:12" x14ac:dyDescent="0.3">
      <c r="E29" s="4" t="s">
        <v>56</v>
      </c>
      <c r="F29" s="13">
        <v>22</v>
      </c>
      <c r="H29" s="4" t="s">
        <v>48</v>
      </c>
      <c r="I29" s="13">
        <v>41.5</v>
      </c>
      <c r="K29" s="4" t="s">
        <v>55</v>
      </c>
      <c r="L29" s="13">
        <v>6.5</v>
      </c>
    </row>
    <row r="30" spans="1:12" x14ac:dyDescent="0.3">
      <c r="E30" s="4" t="s">
        <v>57</v>
      </c>
      <c r="F30" s="13">
        <v>14</v>
      </c>
      <c r="H30" s="4" t="s">
        <v>49</v>
      </c>
      <c r="I30" s="13">
        <v>38.0625</v>
      </c>
      <c r="K30" s="4" t="s">
        <v>56</v>
      </c>
      <c r="L30" s="13">
        <v>5</v>
      </c>
    </row>
    <row r="31" spans="1:12" x14ac:dyDescent="0.3">
      <c r="A31" s="1" t="s">
        <v>5</v>
      </c>
      <c r="B31" t="s">
        <v>22</v>
      </c>
      <c r="E31" s="4" t="s">
        <v>58</v>
      </c>
      <c r="F31" s="13">
        <v>13</v>
      </c>
      <c r="H31" s="4" t="s">
        <v>50</v>
      </c>
      <c r="I31" s="13">
        <v>29.222222222222221</v>
      </c>
      <c r="K31" s="4" t="s">
        <v>57</v>
      </c>
      <c r="L31" s="13">
        <v>5.8</v>
      </c>
    </row>
    <row r="32" spans="1:12" x14ac:dyDescent="0.3">
      <c r="A32" s="4" t="s">
        <v>7</v>
      </c>
      <c r="B32" s="2"/>
      <c r="E32" s="4" t="s">
        <v>59</v>
      </c>
      <c r="F32" s="13">
        <v>10</v>
      </c>
      <c r="H32" s="4" t="s">
        <v>51</v>
      </c>
      <c r="I32" s="13">
        <v>31</v>
      </c>
      <c r="K32" s="4" t="s">
        <v>58</v>
      </c>
      <c r="L32" s="13">
        <v>6</v>
      </c>
    </row>
    <row r="33" spans="1:12" x14ac:dyDescent="0.3">
      <c r="A33" s="5" t="s">
        <v>14</v>
      </c>
      <c r="B33" s="7">
        <v>36</v>
      </c>
      <c r="E33" s="4" t="s">
        <v>60</v>
      </c>
      <c r="F33" s="13">
        <v>17</v>
      </c>
      <c r="H33" s="4" t="s">
        <v>52</v>
      </c>
      <c r="I33" s="13">
        <v>37.3125</v>
      </c>
      <c r="K33" s="4" t="s">
        <v>59</v>
      </c>
      <c r="L33" s="13">
        <v>8</v>
      </c>
    </row>
    <row r="34" spans="1:12" x14ac:dyDescent="0.3">
      <c r="A34" s="5" t="s">
        <v>15</v>
      </c>
      <c r="B34" s="7">
        <v>32</v>
      </c>
      <c r="E34" s="4" t="s">
        <v>61</v>
      </c>
      <c r="F34" s="13">
        <v>17</v>
      </c>
      <c r="H34" s="4" t="s">
        <v>53</v>
      </c>
      <c r="I34" s="13">
        <v>35.647058823529413</v>
      </c>
      <c r="K34" s="4" t="s">
        <v>60</v>
      </c>
      <c r="L34" s="13">
        <v>7</v>
      </c>
    </row>
    <row r="35" spans="1:12" x14ac:dyDescent="0.3">
      <c r="A35" s="5" t="s">
        <v>16</v>
      </c>
      <c r="B35" s="7">
        <v>20</v>
      </c>
      <c r="E35" s="4" t="s">
        <v>62</v>
      </c>
      <c r="F35" s="13">
        <v>13</v>
      </c>
      <c r="H35" s="4" t="s">
        <v>54</v>
      </c>
      <c r="I35" s="13">
        <v>36.476190476190474</v>
      </c>
      <c r="K35" s="4" t="s">
        <v>61</v>
      </c>
      <c r="L35" s="13">
        <v>3.75</v>
      </c>
    </row>
    <row r="36" spans="1:12" x14ac:dyDescent="0.3">
      <c r="A36" s="5" t="s">
        <v>17</v>
      </c>
      <c r="B36" s="7">
        <v>30</v>
      </c>
      <c r="E36" s="4" t="s">
        <v>63</v>
      </c>
      <c r="F36" s="13">
        <v>11</v>
      </c>
      <c r="H36" s="4" t="s">
        <v>55</v>
      </c>
      <c r="I36" s="13">
        <v>40.799999999999997</v>
      </c>
      <c r="K36" s="4" t="s">
        <v>62</v>
      </c>
      <c r="L36" s="13">
        <v>1</v>
      </c>
    </row>
    <row r="37" spans="1:12" x14ac:dyDescent="0.3">
      <c r="A37" s="5" t="s">
        <v>18</v>
      </c>
      <c r="B37" s="7">
        <v>28</v>
      </c>
      <c r="E37" s="4" t="s">
        <v>64</v>
      </c>
      <c r="F37" s="13">
        <v>19</v>
      </c>
      <c r="H37" s="4" t="s">
        <v>56</v>
      </c>
      <c r="I37" s="13">
        <v>30.318181818181817</v>
      </c>
      <c r="K37" s="4" t="s">
        <v>63</v>
      </c>
      <c r="L37" s="13">
        <v>9</v>
      </c>
    </row>
    <row r="38" spans="1:12" x14ac:dyDescent="0.3">
      <c r="A38" s="5" t="s">
        <v>19</v>
      </c>
      <c r="B38" s="7">
        <v>29</v>
      </c>
      <c r="E38" s="4" t="s">
        <v>65</v>
      </c>
      <c r="F38" s="13">
        <v>16</v>
      </c>
      <c r="H38" s="4" t="s">
        <v>57</v>
      </c>
      <c r="I38" s="13">
        <v>35.714285714285715</v>
      </c>
      <c r="K38" s="4" t="s">
        <v>64</v>
      </c>
      <c r="L38" s="13">
        <v>5.8</v>
      </c>
    </row>
    <row r="39" spans="1:12" x14ac:dyDescent="0.3">
      <c r="A39" s="5" t="s">
        <v>20</v>
      </c>
      <c r="B39" s="7">
        <v>33</v>
      </c>
      <c r="E39" s="4" t="s">
        <v>66</v>
      </c>
      <c r="F39" s="13">
        <v>15</v>
      </c>
      <c r="H39" s="4" t="s">
        <v>58</v>
      </c>
      <c r="I39" s="13">
        <v>33.53846153846154</v>
      </c>
      <c r="K39" s="4" t="s">
        <v>65</v>
      </c>
      <c r="L39" s="13">
        <v>4</v>
      </c>
    </row>
    <row r="40" spans="1:12" x14ac:dyDescent="0.3">
      <c r="A40" s="5" t="s">
        <v>21</v>
      </c>
      <c r="B40" s="7">
        <v>23</v>
      </c>
      <c r="E40" s="4" t="s">
        <v>67</v>
      </c>
      <c r="F40" s="13">
        <v>18</v>
      </c>
      <c r="H40" s="4" t="s">
        <v>59</v>
      </c>
      <c r="I40" s="13">
        <v>37.5</v>
      </c>
      <c r="K40" s="4" t="s">
        <v>66</v>
      </c>
      <c r="L40" s="13">
        <v>6.4</v>
      </c>
    </row>
    <row r="41" spans="1:12" x14ac:dyDescent="0.3">
      <c r="A41" s="4" t="s">
        <v>8</v>
      </c>
      <c r="B41" s="2"/>
      <c r="E41" s="4" t="s">
        <v>6</v>
      </c>
      <c r="F41" s="13">
        <v>464</v>
      </c>
      <c r="H41" s="4" t="s">
        <v>60</v>
      </c>
      <c r="I41" s="13">
        <v>38.058823529411768</v>
      </c>
      <c r="K41" s="4" t="s">
        <v>67</v>
      </c>
      <c r="L41" s="13">
        <v>5</v>
      </c>
    </row>
    <row r="42" spans="1:12" x14ac:dyDescent="0.3">
      <c r="A42" s="5" t="s">
        <v>14</v>
      </c>
      <c r="B42" s="2">
        <v>27</v>
      </c>
      <c r="C42" t="s">
        <v>12</v>
      </c>
      <c r="H42" s="4" t="s">
        <v>61</v>
      </c>
      <c r="I42" s="13">
        <v>28.117647058823529</v>
      </c>
      <c r="K42" s="4" t="s">
        <v>6</v>
      </c>
      <c r="L42" s="13">
        <v>5.0928571428571425</v>
      </c>
    </row>
    <row r="43" spans="1:12" x14ac:dyDescent="0.3">
      <c r="A43" s="5" t="s">
        <v>15</v>
      </c>
      <c r="B43" s="2">
        <v>33</v>
      </c>
      <c r="C43" s="9">
        <f t="shared" ref="C43:C44" si="0">C22</f>
        <v>0.49784482758620691</v>
      </c>
      <c r="H43" s="4" t="s">
        <v>62</v>
      </c>
      <c r="I43" s="13">
        <v>31.846153846153847</v>
      </c>
    </row>
    <row r="44" spans="1:12" x14ac:dyDescent="0.3">
      <c r="A44" s="5" t="s">
        <v>16</v>
      </c>
      <c r="B44" s="2">
        <v>29</v>
      </c>
      <c r="C44" s="9">
        <f t="shared" si="0"/>
        <v>0.50215517241379315</v>
      </c>
      <c r="H44" s="4" t="s">
        <v>63</v>
      </c>
      <c r="I44" s="13">
        <v>43.636363636363633</v>
      </c>
    </row>
    <row r="45" spans="1:12" x14ac:dyDescent="0.3">
      <c r="A45" s="5" t="s">
        <v>17</v>
      </c>
      <c r="B45" s="2">
        <v>31</v>
      </c>
      <c r="H45" s="4" t="s">
        <v>64</v>
      </c>
      <c r="I45" s="13">
        <v>38.842105263157897</v>
      </c>
    </row>
    <row r="46" spans="1:12" x14ac:dyDescent="0.3">
      <c r="A46" s="5" t="s">
        <v>18</v>
      </c>
      <c r="B46" s="2">
        <v>28</v>
      </c>
      <c r="H46" s="4" t="s">
        <v>65</v>
      </c>
      <c r="I46" s="13">
        <v>29.5625</v>
      </c>
    </row>
    <row r="47" spans="1:12" x14ac:dyDescent="0.3">
      <c r="A47" s="5" t="s">
        <v>19</v>
      </c>
      <c r="B47" s="2">
        <v>32</v>
      </c>
      <c r="H47" s="4" t="s">
        <v>66</v>
      </c>
      <c r="I47" s="13">
        <v>37.466666666666669</v>
      </c>
    </row>
    <row r="48" spans="1:12" x14ac:dyDescent="0.3">
      <c r="A48" s="5" t="s">
        <v>20</v>
      </c>
      <c r="B48" s="2">
        <v>29</v>
      </c>
      <c r="H48" s="4" t="s">
        <v>67</v>
      </c>
      <c r="I48" s="13">
        <v>35.277777777777779</v>
      </c>
    </row>
    <row r="49" spans="1:9" x14ac:dyDescent="0.3">
      <c r="A49" s="5" t="s">
        <v>21</v>
      </c>
      <c r="B49" s="2">
        <v>24</v>
      </c>
      <c r="H49" s="4" t="s">
        <v>6</v>
      </c>
      <c r="I49" s="2">
        <v>35.185344827586206</v>
      </c>
    </row>
    <row r="50" spans="1:9" x14ac:dyDescent="0.3">
      <c r="A50" s="4" t="s">
        <v>6</v>
      </c>
      <c r="B50" s="2">
        <v>464</v>
      </c>
    </row>
    <row r="52" spans="1:9" x14ac:dyDescent="0.3">
      <c r="C52" s="1" t="s">
        <v>5</v>
      </c>
      <c r="D52" t="s">
        <v>0</v>
      </c>
    </row>
    <row r="53" spans="1:9" x14ac:dyDescent="0.3">
      <c r="C53" s="4" t="s">
        <v>23</v>
      </c>
      <c r="D53" s="7">
        <v>267</v>
      </c>
    </row>
    <row r="54" spans="1:9" x14ac:dyDescent="0.3">
      <c r="C54" s="4" t="s">
        <v>24</v>
      </c>
      <c r="D54" s="7">
        <v>197</v>
      </c>
    </row>
    <row r="55" spans="1:9" x14ac:dyDescent="0.3">
      <c r="C55" s="4" t="s">
        <v>6</v>
      </c>
      <c r="D55" s="7">
        <v>464</v>
      </c>
    </row>
    <row r="56" spans="1:9" x14ac:dyDescent="0.3">
      <c r="G56" s="1" t="s">
        <v>5</v>
      </c>
      <c r="H56" t="s">
        <v>25</v>
      </c>
    </row>
    <row r="57" spans="1:9" x14ac:dyDescent="0.3">
      <c r="G57" s="4" t="s">
        <v>26</v>
      </c>
      <c r="H57" s="7">
        <v>227</v>
      </c>
    </row>
    <row r="58" spans="1:9" x14ac:dyDescent="0.3">
      <c r="G58" s="4" t="s">
        <v>27</v>
      </c>
      <c r="H58" s="7">
        <v>237</v>
      </c>
    </row>
    <row r="59" spans="1:9" x14ac:dyDescent="0.3">
      <c r="G59" s="4" t="s">
        <v>6</v>
      </c>
      <c r="H59" s="7">
        <v>464</v>
      </c>
    </row>
    <row r="62" spans="1:9" x14ac:dyDescent="0.3">
      <c r="A62" s="10" t="s">
        <v>11</v>
      </c>
      <c r="B62" s="10" t="s">
        <v>13</v>
      </c>
      <c r="C62" s="1" t="s">
        <v>5</v>
      </c>
      <c r="D62" t="s">
        <v>36</v>
      </c>
    </row>
    <row r="63" spans="1:9" x14ac:dyDescent="0.3">
      <c r="A63" t="str">
        <f>A22</f>
        <v>admitted</v>
      </c>
      <c r="B63">
        <f t="shared" ref="B63:B64" si="1">B22</f>
        <v>231</v>
      </c>
      <c r="C63" s="4" t="s">
        <v>28</v>
      </c>
      <c r="D63" s="7">
        <v>13</v>
      </c>
      <c r="G63" s="1" t="s">
        <v>5</v>
      </c>
      <c r="H63" t="s">
        <v>36</v>
      </c>
    </row>
    <row r="64" spans="1:9" x14ac:dyDescent="0.3">
      <c r="A64" t="str">
        <f>A23</f>
        <v>not admitted</v>
      </c>
      <c r="B64">
        <f t="shared" si="1"/>
        <v>233</v>
      </c>
      <c r="C64" s="4" t="s">
        <v>29</v>
      </c>
      <c r="D64" s="7">
        <v>14</v>
      </c>
      <c r="G64" s="4" t="s">
        <v>28</v>
      </c>
      <c r="H64" s="7"/>
    </row>
    <row r="65" spans="3:8" x14ac:dyDescent="0.3">
      <c r="C65" s="4" t="s">
        <v>30</v>
      </c>
      <c r="D65" s="7">
        <v>91</v>
      </c>
      <c r="G65" s="11">
        <v>45236</v>
      </c>
      <c r="H65" s="7"/>
    </row>
    <row r="66" spans="3:8" x14ac:dyDescent="0.3">
      <c r="C66" s="4" t="s">
        <v>31</v>
      </c>
      <c r="D66" s="7">
        <v>6</v>
      </c>
      <c r="G66" s="6" t="s">
        <v>68</v>
      </c>
      <c r="H66" s="7"/>
    </row>
    <row r="67" spans="3:8" x14ac:dyDescent="0.3">
      <c r="C67" s="4" t="s">
        <v>32</v>
      </c>
      <c r="D67" s="7">
        <v>252</v>
      </c>
      <c r="G67" s="12" t="s">
        <v>43</v>
      </c>
      <c r="H67" s="7">
        <v>1</v>
      </c>
    </row>
    <row r="68" spans="3:8" x14ac:dyDescent="0.3">
      <c r="C68" s="4" t="s">
        <v>33</v>
      </c>
      <c r="D68" s="7">
        <v>67</v>
      </c>
      <c r="G68" s="11">
        <v>45241</v>
      </c>
      <c r="H68" s="7"/>
    </row>
    <row r="69" spans="3:8" x14ac:dyDescent="0.3">
      <c r="C69" s="4" t="s">
        <v>34</v>
      </c>
      <c r="D69" s="7">
        <v>19</v>
      </c>
      <c r="G69" s="6" t="s">
        <v>68</v>
      </c>
      <c r="H69" s="7"/>
    </row>
    <row r="70" spans="3:8" x14ac:dyDescent="0.3">
      <c r="C70" s="4" t="s">
        <v>35</v>
      </c>
      <c r="D70" s="7">
        <v>2</v>
      </c>
      <c r="G70" s="12" t="s">
        <v>48</v>
      </c>
      <c r="H70" s="7">
        <v>1</v>
      </c>
    </row>
    <row r="71" spans="3:8" x14ac:dyDescent="0.3">
      <c r="C71" s="4" t="s">
        <v>6</v>
      </c>
      <c r="D71" s="7">
        <v>464</v>
      </c>
      <c r="G71" s="11">
        <v>45245</v>
      </c>
      <c r="H71" s="7"/>
    </row>
    <row r="72" spans="3:8" x14ac:dyDescent="0.3">
      <c r="G72" s="6" t="s">
        <v>68</v>
      </c>
      <c r="H72" s="7"/>
    </row>
    <row r="73" spans="3:8" x14ac:dyDescent="0.3">
      <c r="G73" s="12" t="s">
        <v>52</v>
      </c>
      <c r="H73" s="7">
        <v>1</v>
      </c>
    </row>
    <row r="74" spans="3:8" x14ac:dyDescent="0.3">
      <c r="G74" s="11">
        <v>45247</v>
      </c>
      <c r="H74" s="7"/>
    </row>
    <row r="75" spans="3:8" x14ac:dyDescent="0.3">
      <c r="G75" s="6" t="s">
        <v>68</v>
      </c>
      <c r="H75" s="7"/>
    </row>
    <row r="76" spans="3:8" x14ac:dyDescent="0.3">
      <c r="G76" s="12" t="s">
        <v>54</v>
      </c>
      <c r="H76" s="7">
        <v>2</v>
      </c>
    </row>
    <row r="77" spans="3:8" x14ac:dyDescent="0.3">
      <c r="G77" s="11">
        <v>45248</v>
      </c>
      <c r="H77" s="7"/>
    </row>
    <row r="78" spans="3:8" x14ac:dyDescent="0.3">
      <c r="G78" s="6" t="s">
        <v>68</v>
      </c>
      <c r="H78" s="7"/>
    </row>
    <row r="79" spans="3:8" x14ac:dyDescent="0.3">
      <c r="C79" s="1" t="s">
        <v>5</v>
      </c>
      <c r="G79" s="12" t="s">
        <v>55</v>
      </c>
      <c r="H79" s="7">
        <v>1</v>
      </c>
    </row>
    <row r="80" spans="3:8" x14ac:dyDescent="0.3">
      <c r="C80" s="4" t="s">
        <v>37</v>
      </c>
      <c r="G80" s="11">
        <v>45249</v>
      </c>
      <c r="H80" s="7"/>
    </row>
    <row r="81" spans="3:8" x14ac:dyDescent="0.3">
      <c r="C81" s="4" t="s">
        <v>6</v>
      </c>
      <c r="G81" s="6" t="s">
        <v>68</v>
      </c>
      <c r="H81" s="7"/>
    </row>
    <row r="82" spans="3:8" x14ac:dyDescent="0.3">
      <c r="G82" s="12" t="s">
        <v>56</v>
      </c>
      <c r="H82" s="7">
        <v>1</v>
      </c>
    </row>
    <row r="83" spans="3:8" x14ac:dyDescent="0.3">
      <c r="G83" s="11">
        <v>45250</v>
      </c>
      <c r="H83" s="7"/>
    </row>
    <row r="84" spans="3:8" x14ac:dyDescent="0.3">
      <c r="G84" s="6" t="s">
        <v>68</v>
      </c>
      <c r="H84" s="7"/>
    </row>
    <row r="85" spans="3:8" x14ac:dyDescent="0.3">
      <c r="G85" s="12" t="s">
        <v>57</v>
      </c>
      <c r="H85" s="7">
        <v>1</v>
      </c>
    </row>
    <row r="86" spans="3:8" x14ac:dyDescent="0.3">
      <c r="G86" s="11">
        <v>45251</v>
      </c>
      <c r="H86" s="7"/>
    </row>
    <row r="87" spans="3:8" x14ac:dyDescent="0.3">
      <c r="G87" s="6" t="s">
        <v>68</v>
      </c>
      <c r="H87" s="7"/>
    </row>
    <row r="88" spans="3:8" x14ac:dyDescent="0.3">
      <c r="G88" s="12" t="s">
        <v>58</v>
      </c>
      <c r="H88" s="7">
        <v>2</v>
      </c>
    </row>
    <row r="89" spans="3:8" x14ac:dyDescent="0.3">
      <c r="G89" s="11">
        <v>45254</v>
      </c>
      <c r="H89" s="7"/>
    </row>
    <row r="90" spans="3:8" x14ac:dyDescent="0.3">
      <c r="G90" s="6" t="s">
        <v>68</v>
      </c>
      <c r="H90" s="7"/>
    </row>
    <row r="91" spans="3:8" x14ac:dyDescent="0.3">
      <c r="G91" s="12" t="s">
        <v>61</v>
      </c>
      <c r="H91" s="7">
        <v>1</v>
      </c>
    </row>
    <row r="92" spans="3:8" x14ac:dyDescent="0.3">
      <c r="G92" s="11">
        <v>45257</v>
      </c>
      <c r="H92" s="7"/>
    </row>
    <row r="93" spans="3:8" x14ac:dyDescent="0.3">
      <c r="G93" s="6" t="s">
        <v>68</v>
      </c>
      <c r="H93" s="7"/>
    </row>
    <row r="94" spans="3:8" x14ac:dyDescent="0.3">
      <c r="G94" s="12" t="s">
        <v>64</v>
      </c>
      <c r="H94" s="7">
        <v>1</v>
      </c>
    </row>
    <row r="95" spans="3:8" x14ac:dyDescent="0.3">
      <c r="G95" s="11">
        <v>45260</v>
      </c>
      <c r="H95" s="7"/>
    </row>
    <row r="96" spans="3:8" x14ac:dyDescent="0.3">
      <c r="G96" s="6" t="s">
        <v>68</v>
      </c>
      <c r="H96" s="7"/>
    </row>
    <row r="97" spans="7:8" x14ac:dyDescent="0.3">
      <c r="G97" s="12" t="s">
        <v>67</v>
      </c>
      <c r="H97" s="7">
        <v>1</v>
      </c>
    </row>
    <row r="98" spans="7:8" x14ac:dyDescent="0.3">
      <c r="G98" s="4" t="s">
        <v>29</v>
      </c>
      <c r="H98" s="7"/>
    </row>
    <row r="99" spans="7:8" x14ac:dyDescent="0.3">
      <c r="G99" s="11">
        <v>45231</v>
      </c>
      <c r="H99" s="7"/>
    </row>
    <row r="100" spans="7:8" x14ac:dyDescent="0.3">
      <c r="G100" s="6" t="s">
        <v>68</v>
      </c>
      <c r="H100" s="7"/>
    </row>
    <row r="101" spans="7:8" x14ac:dyDescent="0.3">
      <c r="G101" s="12" t="s">
        <v>38</v>
      </c>
      <c r="H101" s="7">
        <v>1</v>
      </c>
    </row>
    <row r="102" spans="7:8" x14ac:dyDescent="0.3">
      <c r="G102" s="11">
        <v>45232</v>
      </c>
      <c r="H102" s="7"/>
    </row>
    <row r="103" spans="7:8" x14ac:dyDescent="0.3">
      <c r="G103" s="6" t="s">
        <v>68</v>
      </c>
      <c r="H103" s="7"/>
    </row>
    <row r="104" spans="7:8" x14ac:dyDescent="0.3">
      <c r="G104" s="12" t="s">
        <v>39</v>
      </c>
      <c r="H104" s="7">
        <v>1</v>
      </c>
    </row>
    <row r="105" spans="7:8" x14ac:dyDescent="0.3">
      <c r="G105" s="11">
        <v>45239</v>
      </c>
      <c r="H105" s="7"/>
    </row>
    <row r="106" spans="7:8" x14ac:dyDescent="0.3">
      <c r="G106" s="6" t="s">
        <v>68</v>
      </c>
      <c r="H106" s="7"/>
    </row>
    <row r="107" spans="7:8" x14ac:dyDescent="0.3">
      <c r="G107" s="12" t="s">
        <v>46</v>
      </c>
      <c r="H107" s="7">
        <v>1</v>
      </c>
    </row>
    <row r="108" spans="7:8" x14ac:dyDescent="0.3">
      <c r="G108" s="11">
        <v>45240</v>
      </c>
      <c r="H108" s="7"/>
    </row>
    <row r="109" spans="7:8" x14ac:dyDescent="0.3">
      <c r="G109" s="6" t="s">
        <v>68</v>
      </c>
      <c r="H109" s="7"/>
    </row>
    <row r="110" spans="7:8" x14ac:dyDescent="0.3">
      <c r="G110" s="12" t="s">
        <v>47</v>
      </c>
      <c r="H110" s="7">
        <v>2</v>
      </c>
    </row>
    <row r="111" spans="7:8" x14ac:dyDescent="0.3">
      <c r="G111" s="11">
        <v>45241</v>
      </c>
      <c r="H111" s="7"/>
    </row>
    <row r="112" spans="7:8" x14ac:dyDescent="0.3">
      <c r="G112" s="6" t="s">
        <v>68</v>
      </c>
      <c r="H112" s="7"/>
    </row>
    <row r="113" spans="7:8" x14ac:dyDescent="0.3">
      <c r="G113" s="12" t="s">
        <v>48</v>
      </c>
      <c r="H113" s="7">
        <v>1</v>
      </c>
    </row>
    <row r="114" spans="7:8" x14ac:dyDescent="0.3">
      <c r="G114" s="11">
        <v>45243</v>
      </c>
      <c r="H114" s="7"/>
    </row>
    <row r="115" spans="7:8" x14ac:dyDescent="0.3">
      <c r="G115" s="6" t="s">
        <v>68</v>
      </c>
      <c r="H115" s="7"/>
    </row>
    <row r="116" spans="7:8" x14ac:dyDescent="0.3">
      <c r="G116" s="12" t="s">
        <v>50</v>
      </c>
      <c r="H116" s="7">
        <v>1</v>
      </c>
    </row>
    <row r="117" spans="7:8" x14ac:dyDescent="0.3">
      <c r="G117" s="11">
        <v>45246</v>
      </c>
      <c r="H117" s="7"/>
    </row>
    <row r="118" spans="7:8" x14ac:dyDescent="0.3">
      <c r="G118" s="6" t="s">
        <v>68</v>
      </c>
      <c r="H118" s="7"/>
    </row>
    <row r="119" spans="7:8" x14ac:dyDescent="0.3">
      <c r="G119" s="12" t="s">
        <v>53</v>
      </c>
      <c r="H119" s="7">
        <v>1</v>
      </c>
    </row>
    <row r="120" spans="7:8" x14ac:dyDescent="0.3">
      <c r="G120" s="11">
        <v>45248</v>
      </c>
      <c r="H120" s="7"/>
    </row>
    <row r="121" spans="7:8" x14ac:dyDescent="0.3">
      <c r="G121" s="6" t="s">
        <v>68</v>
      </c>
      <c r="H121" s="7"/>
    </row>
    <row r="122" spans="7:8" x14ac:dyDescent="0.3">
      <c r="G122" s="12" t="s">
        <v>55</v>
      </c>
      <c r="H122" s="7">
        <v>1</v>
      </c>
    </row>
    <row r="123" spans="7:8" x14ac:dyDescent="0.3">
      <c r="G123" s="11">
        <v>45254</v>
      </c>
      <c r="H123" s="7"/>
    </row>
    <row r="124" spans="7:8" x14ac:dyDescent="0.3">
      <c r="G124" s="6" t="s">
        <v>68</v>
      </c>
      <c r="H124" s="7"/>
    </row>
    <row r="125" spans="7:8" x14ac:dyDescent="0.3">
      <c r="G125" s="12" t="s">
        <v>61</v>
      </c>
      <c r="H125" s="7">
        <v>1</v>
      </c>
    </row>
    <row r="126" spans="7:8" x14ac:dyDescent="0.3">
      <c r="G126" s="11">
        <v>45256</v>
      </c>
      <c r="H126" s="7"/>
    </row>
    <row r="127" spans="7:8" x14ac:dyDescent="0.3">
      <c r="G127" s="6" t="s">
        <v>68</v>
      </c>
      <c r="H127" s="7"/>
    </row>
    <row r="128" spans="7:8" x14ac:dyDescent="0.3">
      <c r="G128" s="12" t="s">
        <v>63</v>
      </c>
      <c r="H128" s="7">
        <v>1</v>
      </c>
    </row>
    <row r="129" spans="7:8" x14ac:dyDescent="0.3">
      <c r="G129" s="11">
        <v>45257</v>
      </c>
      <c r="H129" s="7"/>
    </row>
    <row r="130" spans="7:8" x14ac:dyDescent="0.3">
      <c r="G130" s="6" t="s">
        <v>68</v>
      </c>
      <c r="H130" s="7"/>
    </row>
    <row r="131" spans="7:8" x14ac:dyDescent="0.3">
      <c r="G131" s="12" t="s">
        <v>64</v>
      </c>
      <c r="H131" s="7">
        <v>2</v>
      </c>
    </row>
    <row r="132" spans="7:8" x14ac:dyDescent="0.3">
      <c r="G132" s="11">
        <v>45260</v>
      </c>
      <c r="H132" s="7"/>
    </row>
    <row r="133" spans="7:8" x14ac:dyDescent="0.3">
      <c r="G133" s="6" t="s">
        <v>68</v>
      </c>
      <c r="H133" s="7"/>
    </row>
    <row r="134" spans="7:8" x14ac:dyDescent="0.3">
      <c r="G134" s="12" t="s">
        <v>67</v>
      </c>
      <c r="H134" s="7">
        <v>1</v>
      </c>
    </row>
    <row r="135" spans="7:8" x14ac:dyDescent="0.3">
      <c r="G135" s="4" t="s">
        <v>30</v>
      </c>
      <c r="H135" s="7"/>
    </row>
    <row r="136" spans="7:8" x14ac:dyDescent="0.3">
      <c r="G136" s="11">
        <v>45231</v>
      </c>
      <c r="H136" s="7"/>
    </row>
    <row r="137" spans="7:8" x14ac:dyDescent="0.3">
      <c r="G137" s="6" t="s">
        <v>68</v>
      </c>
      <c r="H137" s="7"/>
    </row>
    <row r="138" spans="7:8" x14ac:dyDescent="0.3">
      <c r="G138" s="12" t="s">
        <v>38</v>
      </c>
      <c r="H138" s="7">
        <v>1</v>
      </c>
    </row>
    <row r="139" spans="7:8" x14ac:dyDescent="0.3">
      <c r="G139" s="11">
        <v>45232</v>
      </c>
      <c r="H139" s="7"/>
    </row>
    <row r="140" spans="7:8" x14ac:dyDescent="0.3">
      <c r="G140" s="6" t="s">
        <v>68</v>
      </c>
      <c r="H140" s="7"/>
    </row>
    <row r="141" spans="7:8" x14ac:dyDescent="0.3">
      <c r="G141" s="12" t="s">
        <v>39</v>
      </c>
      <c r="H141" s="7">
        <v>5</v>
      </c>
    </row>
    <row r="142" spans="7:8" x14ac:dyDescent="0.3">
      <c r="G142" s="11">
        <v>45233</v>
      </c>
      <c r="H142" s="7"/>
    </row>
    <row r="143" spans="7:8" x14ac:dyDescent="0.3">
      <c r="G143" s="6" t="s">
        <v>68</v>
      </c>
      <c r="H143" s="7"/>
    </row>
    <row r="144" spans="7:8" x14ac:dyDescent="0.3">
      <c r="G144" s="12" t="s">
        <v>40</v>
      </c>
      <c r="H144" s="7">
        <v>4</v>
      </c>
    </row>
    <row r="145" spans="7:8" x14ac:dyDescent="0.3">
      <c r="G145" s="11">
        <v>45234</v>
      </c>
      <c r="H145" s="7"/>
    </row>
    <row r="146" spans="7:8" x14ac:dyDescent="0.3">
      <c r="G146" s="6" t="s">
        <v>68</v>
      </c>
      <c r="H146" s="7"/>
    </row>
    <row r="147" spans="7:8" x14ac:dyDescent="0.3">
      <c r="G147" s="12" t="s">
        <v>41</v>
      </c>
      <c r="H147" s="7">
        <v>1</v>
      </c>
    </row>
    <row r="148" spans="7:8" x14ac:dyDescent="0.3">
      <c r="G148" s="11">
        <v>45235</v>
      </c>
      <c r="H148" s="7"/>
    </row>
    <row r="149" spans="7:8" x14ac:dyDescent="0.3">
      <c r="G149" s="6" t="s">
        <v>68</v>
      </c>
      <c r="H149" s="7"/>
    </row>
    <row r="150" spans="7:8" x14ac:dyDescent="0.3">
      <c r="G150" s="12" t="s">
        <v>42</v>
      </c>
      <c r="H150" s="7">
        <v>4</v>
      </c>
    </row>
    <row r="151" spans="7:8" x14ac:dyDescent="0.3">
      <c r="G151" s="11">
        <v>45236</v>
      </c>
      <c r="H151" s="7"/>
    </row>
    <row r="152" spans="7:8" x14ac:dyDescent="0.3">
      <c r="G152" s="6" t="s">
        <v>68</v>
      </c>
      <c r="H152" s="7"/>
    </row>
    <row r="153" spans="7:8" x14ac:dyDescent="0.3">
      <c r="G153" s="12" t="s">
        <v>43</v>
      </c>
      <c r="H153" s="7">
        <v>1</v>
      </c>
    </row>
    <row r="154" spans="7:8" x14ac:dyDescent="0.3">
      <c r="G154" s="11">
        <v>45237</v>
      </c>
      <c r="H154" s="7"/>
    </row>
    <row r="155" spans="7:8" x14ac:dyDescent="0.3">
      <c r="G155" s="6" t="s">
        <v>68</v>
      </c>
      <c r="H155" s="7"/>
    </row>
    <row r="156" spans="7:8" x14ac:dyDescent="0.3">
      <c r="G156" s="12" t="s">
        <v>44</v>
      </c>
      <c r="H156" s="7">
        <v>7</v>
      </c>
    </row>
    <row r="157" spans="7:8" x14ac:dyDescent="0.3">
      <c r="G157" s="11">
        <v>45238</v>
      </c>
      <c r="H157" s="7"/>
    </row>
    <row r="158" spans="7:8" x14ac:dyDescent="0.3">
      <c r="G158" s="6" t="s">
        <v>68</v>
      </c>
      <c r="H158" s="7"/>
    </row>
    <row r="159" spans="7:8" x14ac:dyDescent="0.3">
      <c r="G159" s="12" t="s">
        <v>45</v>
      </c>
      <c r="H159" s="7">
        <v>2</v>
      </c>
    </row>
    <row r="160" spans="7:8" x14ac:dyDescent="0.3">
      <c r="G160" s="11">
        <v>45239</v>
      </c>
      <c r="H160" s="7"/>
    </row>
    <row r="161" spans="7:8" x14ac:dyDescent="0.3">
      <c r="G161" s="6" t="s">
        <v>68</v>
      </c>
      <c r="H161" s="7"/>
    </row>
    <row r="162" spans="7:8" x14ac:dyDescent="0.3">
      <c r="G162" s="12" t="s">
        <v>46</v>
      </c>
      <c r="H162" s="7">
        <v>3</v>
      </c>
    </row>
    <row r="163" spans="7:8" x14ac:dyDescent="0.3">
      <c r="G163" s="11">
        <v>45240</v>
      </c>
      <c r="H163" s="7"/>
    </row>
    <row r="164" spans="7:8" x14ac:dyDescent="0.3">
      <c r="G164" s="6" t="s">
        <v>68</v>
      </c>
      <c r="H164" s="7"/>
    </row>
    <row r="165" spans="7:8" x14ac:dyDescent="0.3">
      <c r="G165" s="12" t="s">
        <v>47</v>
      </c>
      <c r="H165" s="7">
        <v>3</v>
      </c>
    </row>
    <row r="166" spans="7:8" x14ac:dyDescent="0.3">
      <c r="G166" s="11">
        <v>45241</v>
      </c>
      <c r="H166" s="7"/>
    </row>
    <row r="167" spans="7:8" x14ac:dyDescent="0.3">
      <c r="G167" s="6" t="s">
        <v>68</v>
      </c>
      <c r="H167" s="7"/>
    </row>
    <row r="168" spans="7:8" x14ac:dyDescent="0.3">
      <c r="G168" s="12" t="s">
        <v>48</v>
      </c>
      <c r="H168" s="7">
        <v>1</v>
      </c>
    </row>
    <row r="169" spans="7:8" x14ac:dyDescent="0.3">
      <c r="G169" s="11">
        <v>45242</v>
      </c>
      <c r="H169" s="7"/>
    </row>
    <row r="170" spans="7:8" x14ac:dyDescent="0.3">
      <c r="G170" s="6" t="s">
        <v>68</v>
      </c>
      <c r="H170" s="7"/>
    </row>
    <row r="171" spans="7:8" x14ac:dyDescent="0.3">
      <c r="G171" s="12" t="s">
        <v>49</v>
      </c>
      <c r="H171" s="7">
        <v>9</v>
      </c>
    </row>
    <row r="172" spans="7:8" x14ac:dyDescent="0.3">
      <c r="G172" s="11">
        <v>45243</v>
      </c>
      <c r="H172" s="7"/>
    </row>
    <row r="173" spans="7:8" x14ac:dyDescent="0.3">
      <c r="G173" s="6" t="s">
        <v>68</v>
      </c>
      <c r="H173" s="7"/>
    </row>
    <row r="174" spans="7:8" x14ac:dyDescent="0.3">
      <c r="G174" s="12" t="s">
        <v>50</v>
      </c>
      <c r="H174" s="7">
        <v>2</v>
      </c>
    </row>
    <row r="175" spans="7:8" x14ac:dyDescent="0.3">
      <c r="G175" s="11">
        <v>45244</v>
      </c>
      <c r="H175" s="7"/>
    </row>
    <row r="176" spans="7:8" x14ac:dyDescent="0.3">
      <c r="G176" s="6" t="s">
        <v>68</v>
      </c>
      <c r="H176" s="7"/>
    </row>
    <row r="177" spans="7:8" x14ac:dyDescent="0.3">
      <c r="G177" s="12" t="s">
        <v>51</v>
      </c>
      <c r="H177" s="7">
        <v>4</v>
      </c>
    </row>
    <row r="178" spans="7:8" x14ac:dyDescent="0.3">
      <c r="G178" s="11">
        <v>45245</v>
      </c>
      <c r="H178" s="7"/>
    </row>
    <row r="179" spans="7:8" x14ac:dyDescent="0.3">
      <c r="G179" s="6" t="s">
        <v>68</v>
      </c>
      <c r="H179" s="7"/>
    </row>
    <row r="180" spans="7:8" x14ac:dyDescent="0.3">
      <c r="G180" s="12" t="s">
        <v>52</v>
      </c>
      <c r="H180" s="7">
        <v>3</v>
      </c>
    </row>
    <row r="181" spans="7:8" x14ac:dyDescent="0.3">
      <c r="G181" s="11">
        <v>45246</v>
      </c>
      <c r="H181" s="7"/>
    </row>
    <row r="182" spans="7:8" x14ac:dyDescent="0.3">
      <c r="G182" s="6" t="s">
        <v>68</v>
      </c>
      <c r="H182" s="7"/>
    </row>
    <row r="183" spans="7:8" x14ac:dyDescent="0.3">
      <c r="G183" s="12" t="s">
        <v>53</v>
      </c>
      <c r="H183" s="7">
        <v>6</v>
      </c>
    </row>
    <row r="184" spans="7:8" x14ac:dyDescent="0.3">
      <c r="G184" s="11">
        <v>45247</v>
      </c>
      <c r="H184" s="7"/>
    </row>
    <row r="185" spans="7:8" x14ac:dyDescent="0.3">
      <c r="G185" s="6" t="s">
        <v>68</v>
      </c>
      <c r="H185" s="7"/>
    </row>
    <row r="186" spans="7:8" x14ac:dyDescent="0.3">
      <c r="G186" s="12" t="s">
        <v>54</v>
      </c>
      <c r="H186" s="7">
        <v>3</v>
      </c>
    </row>
    <row r="187" spans="7:8" x14ac:dyDescent="0.3">
      <c r="G187" s="11">
        <v>45248</v>
      </c>
      <c r="H187" s="7"/>
    </row>
    <row r="188" spans="7:8" x14ac:dyDescent="0.3">
      <c r="G188" s="6" t="s">
        <v>68</v>
      </c>
      <c r="H188" s="7"/>
    </row>
    <row r="189" spans="7:8" x14ac:dyDescent="0.3">
      <c r="G189" s="12" t="s">
        <v>55</v>
      </c>
      <c r="H189" s="7">
        <v>4</v>
      </c>
    </row>
    <row r="190" spans="7:8" x14ac:dyDescent="0.3">
      <c r="G190" s="11">
        <v>45250</v>
      </c>
      <c r="H190" s="7"/>
    </row>
    <row r="191" spans="7:8" x14ac:dyDescent="0.3">
      <c r="G191" s="6" t="s">
        <v>68</v>
      </c>
      <c r="H191" s="7"/>
    </row>
    <row r="192" spans="7:8" x14ac:dyDescent="0.3">
      <c r="G192" s="12" t="s">
        <v>57</v>
      </c>
      <c r="H192" s="7">
        <v>2</v>
      </c>
    </row>
    <row r="193" spans="7:8" x14ac:dyDescent="0.3">
      <c r="G193" s="11">
        <v>45251</v>
      </c>
      <c r="H193" s="7"/>
    </row>
    <row r="194" spans="7:8" x14ac:dyDescent="0.3">
      <c r="G194" s="6" t="s">
        <v>68</v>
      </c>
      <c r="H194" s="7"/>
    </row>
    <row r="195" spans="7:8" x14ac:dyDescent="0.3">
      <c r="G195" s="12" t="s">
        <v>58</v>
      </c>
      <c r="H195" s="7">
        <v>3</v>
      </c>
    </row>
    <row r="196" spans="7:8" x14ac:dyDescent="0.3">
      <c r="G196" s="11">
        <v>45252</v>
      </c>
      <c r="H196" s="7"/>
    </row>
    <row r="197" spans="7:8" x14ac:dyDescent="0.3">
      <c r="G197" s="6" t="s">
        <v>68</v>
      </c>
      <c r="H197" s="7"/>
    </row>
    <row r="198" spans="7:8" x14ac:dyDescent="0.3">
      <c r="G198" s="12" t="s">
        <v>59</v>
      </c>
      <c r="H198" s="7">
        <v>3</v>
      </c>
    </row>
    <row r="199" spans="7:8" x14ac:dyDescent="0.3">
      <c r="G199" s="11">
        <v>45253</v>
      </c>
      <c r="H199" s="7"/>
    </row>
    <row r="200" spans="7:8" x14ac:dyDescent="0.3">
      <c r="G200" s="6" t="s">
        <v>68</v>
      </c>
      <c r="H200" s="7"/>
    </row>
    <row r="201" spans="7:8" x14ac:dyDescent="0.3">
      <c r="G201" s="12" t="s">
        <v>60</v>
      </c>
      <c r="H201" s="7">
        <v>2</v>
      </c>
    </row>
    <row r="202" spans="7:8" x14ac:dyDescent="0.3">
      <c r="G202" s="11">
        <v>45254</v>
      </c>
      <c r="H202" s="7"/>
    </row>
    <row r="203" spans="7:8" x14ac:dyDescent="0.3">
      <c r="G203" s="6" t="s">
        <v>68</v>
      </c>
      <c r="H203" s="7"/>
    </row>
    <row r="204" spans="7:8" x14ac:dyDescent="0.3">
      <c r="G204" s="12" t="s">
        <v>61</v>
      </c>
      <c r="H204" s="7">
        <v>1</v>
      </c>
    </row>
    <row r="205" spans="7:8" x14ac:dyDescent="0.3">
      <c r="G205" s="11">
        <v>45255</v>
      </c>
      <c r="H205" s="7"/>
    </row>
    <row r="206" spans="7:8" x14ac:dyDescent="0.3">
      <c r="G206" s="6" t="s">
        <v>68</v>
      </c>
      <c r="H206" s="7"/>
    </row>
    <row r="207" spans="7:8" x14ac:dyDescent="0.3">
      <c r="G207" s="12" t="s">
        <v>62</v>
      </c>
      <c r="H207" s="7">
        <v>2</v>
      </c>
    </row>
    <row r="208" spans="7:8" x14ac:dyDescent="0.3">
      <c r="G208" s="11">
        <v>45256</v>
      </c>
      <c r="H208" s="7"/>
    </row>
    <row r="209" spans="7:8" x14ac:dyDescent="0.3">
      <c r="G209" s="6" t="s">
        <v>68</v>
      </c>
      <c r="H209" s="7"/>
    </row>
    <row r="210" spans="7:8" x14ac:dyDescent="0.3">
      <c r="G210" s="12" t="s">
        <v>63</v>
      </c>
      <c r="H210" s="7">
        <v>3</v>
      </c>
    </row>
    <row r="211" spans="7:8" x14ac:dyDescent="0.3">
      <c r="G211" s="11">
        <v>45257</v>
      </c>
      <c r="H211" s="7"/>
    </row>
    <row r="212" spans="7:8" x14ac:dyDescent="0.3">
      <c r="G212" s="6" t="s">
        <v>68</v>
      </c>
      <c r="H212" s="7"/>
    </row>
    <row r="213" spans="7:8" x14ac:dyDescent="0.3">
      <c r="G213" s="12" t="s">
        <v>64</v>
      </c>
      <c r="H213" s="7">
        <v>6</v>
      </c>
    </row>
    <row r="214" spans="7:8" x14ac:dyDescent="0.3">
      <c r="G214" s="11">
        <v>45258</v>
      </c>
      <c r="H214" s="7"/>
    </row>
    <row r="215" spans="7:8" x14ac:dyDescent="0.3">
      <c r="G215" s="6" t="s">
        <v>68</v>
      </c>
      <c r="H215" s="7"/>
    </row>
    <row r="216" spans="7:8" x14ac:dyDescent="0.3">
      <c r="G216" s="12" t="s">
        <v>65</v>
      </c>
      <c r="H216" s="7">
        <v>2</v>
      </c>
    </row>
    <row r="217" spans="7:8" x14ac:dyDescent="0.3">
      <c r="G217" s="11">
        <v>45259</v>
      </c>
      <c r="H217" s="7"/>
    </row>
    <row r="218" spans="7:8" x14ac:dyDescent="0.3">
      <c r="G218" s="6" t="s">
        <v>68</v>
      </c>
      <c r="H218" s="7"/>
    </row>
    <row r="219" spans="7:8" x14ac:dyDescent="0.3">
      <c r="G219" s="12" t="s">
        <v>66</v>
      </c>
      <c r="H219" s="7">
        <v>3</v>
      </c>
    </row>
    <row r="220" spans="7:8" x14ac:dyDescent="0.3">
      <c r="G220" s="11">
        <v>45260</v>
      </c>
      <c r="H220" s="7"/>
    </row>
    <row r="221" spans="7:8" x14ac:dyDescent="0.3">
      <c r="G221" s="6" t="s">
        <v>68</v>
      </c>
      <c r="H221" s="7"/>
    </row>
    <row r="222" spans="7:8" x14ac:dyDescent="0.3">
      <c r="G222" s="12" t="s">
        <v>67</v>
      </c>
      <c r="H222" s="7">
        <v>1</v>
      </c>
    </row>
    <row r="223" spans="7:8" x14ac:dyDescent="0.3">
      <c r="G223" s="4" t="s">
        <v>31</v>
      </c>
      <c r="H223" s="7"/>
    </row>
    <row r="224" spans="7:8" x14ac:dyDescent="0.3">
      <c r="G224" s="11">
        <v>45234</v>
      </c>
      <c r="H224" s="7"/>
    </row>
    <row r="225" spans="7:8" x14ac:dyDescent="0.3">
      <c r="G225" s="6" t="s">
        <v>68</v>
      </c>
      <c r="H225" s="7"/>
    </row>
    <row r="226" spans="7:8" x14ac:dyDescent="0.3">
      <c r="G226" s="12" t="s">
        <v>41</v>
      </c>
      <c r="H226" s="7">
        <v>1</v>
      </c>
    </row>
    <row r="227" spans="7:8" x14ac:dyDescent="0.3">
      <c r="G227" s="11">
        <v>45237</v>
      </c>
      <c r="H227" s="7"/>
    </row>
    <row r="228" spans="7:8" x14ac:dyDescent="0.3">
      <c r="G228" s="6" t="s">
        <v>68</v>
      </c>
      <c r="H228" s="7"/>
    </row>
    <row r="229" spans="7:8" x14ac:dyDescent="0.3">
      <c r="G229" s="12" t="s">
        <v>44</v>
      </c>
      <c r="H229" s="7">
        <v>1</v>
      </c>
    </row>
    <row r="230" spans="7:8" x14ac:dyDescent="0.3">
      <c r="G230" s="11">
        <v>45245</v>
      </c>
      <c r="H230" s="7"/>
    </row>
    <row r="231" spans="7:8" x14ac:dyDescent="0.3">
      <c r="G231" s="6" t="s">
        <v>68</v>
      </c>
      <c r="H231" s="7"/>
    </row>
    <row r="232" spans="7:8" x14ac:dyDescent="0.3">
      <c r="G232" s="12" t="s">
        <v>52</v>
      </c>
      <c r="H232" s="7">
        <v>2</v>
      </c>
    </row>
    <row r="233" spans="7:8" x14ac:dyDescent="0.3">
      <c r="G233" s="11">
        <v>45250</v>
      </c>
      <c r="H233" s="7"/>
    </row>
    <row r="234" spans="7:8" x14ac:dyDescent="0.3">
      <c r="G234" s="6" t="s">
        <v>68</v>
      </c>
      <c r="H234" s="7"/>
    </row>
    <row r="235" spans="7:8" x14ac:dyDescent="0.3">
      <c r="G235" s="12" t="s">
        <v>57</v>
      </c>
      <c r="H235" s="7">
        <v>1</v>
      </c>
    </row>
    <row r="236" spans="7:8" x14ac:dyDescent="0.3">
      <c r="G236" s="11">
        <v>45253</v>
      </c>
      <c r="H236" s="7"/>
    </row>
    <row r="237" spans="7:8" x14ac:dyDescent="0.3">
      <c r="G237" s="6" t="s">
        <v>68</v>
      </c>
      <c r="H237" s="7"/>
    </row>
    <row r="238" spans="7:8" x14ac:dyDescent="0.3">
      <c r="G238" s="12" t="s">
        <v>60</v>
      </c>
      <c r="H238" s="7">
        <v>1</v>
      </c>
    </row>
    <row r="239" spans="7:8" x14ac:dyDescent="0.3">
      <c r="G239" s="4" t="s">
        <v>32</v>
      </c>
      <c r="H239" s="7"/>
    </row>
    <row r="240" spans="7:8" x14ac:dyDescent="0.3">
      <c r="G240" s="11">
        <v>45231</v>
      </c>
      <c r="H240" s="7"/>
    </row>
    <row r="241" spans="7:8" x14ac:dyDescent="0.3">
      <c r="G241" s="6" t="s">
        <v>68</v>
      </c>
      <c r="H241" s="7"/>
    </row>
    <row r="242" spans="7:8" x14ac:dyDescent="0.3">
      <c r="G242" s="12" t="s">
        <v>38</v>
      </c>
      <c r="H242" s="7">
        <v>9</v>
      </c>
    </row>
    <row r="243" spans="7:8" x14ac:dyDescent="0.3">
      <c r="G243" s="11">
        <v>45232</v>
      </c>
      <c r="H243" s="7"/>
    </row>
    <row r="244" spans="7:8" x14ac:dyDescent="0.3">
      <c r="G244" s="6" t="s">
        <v>68</v>
      </c>
      <c r="H244" s="7"/>
    </row>
    <row r="245" spans="7:8" x14ac:dyDescent="0.3">
      <c r="G245" s="12" t="s">
        <v>39</v>
      </c>
      <c r="H245" s="7">
        <v>3</v>
      </c>
    </row>
    <row r="246" spans="7:8" x14ac:dyDescent="0.3">
      <c r="G246" s="11">
        <v>45233</v>
      </c>
      <c r="H246" s="7"/>
    </row>
    <row r="247" spans="7:8" x14ac:dyDescent="0.3">
      <c r="G247" s="6" t="s">
        <v>68</v>
      </c>
      <c r="H247" s="7"/>
    </row>
    <row r="248" spans="7:8" x14ac:dyDescent="0.3">
      <c r="G248" s="12" t="s">
        <v>40</v>
      </c>
      <c r="H248" s="7">
        <v>7</v>
      </c>
    </row>
    <row r="249" spans="7:8" x14ac:dyDescent="0.3">
      <c r="G249" s="11">
        <v>45234</v>
      </c>
      <c r="H249" s="7"/>
    </row>
    <row r="250" spans="7:8" x14ac:dyDescent="0.3">
      <c r="G250" s="6" t="s">
        <v>68</v>
      </c>
      <c r="H250" s="7"/>
    </row>
    <row r="251" spans="7:8" x14ac:dyDescent="0.3">
      <c r="G251" s="12" t="s">
        <v>41</v>
      </c>
      <c r="H251" s="7">
        <v>12</v>
      </c>
    </row>
    <row r="252" spans="7:8" x14ac:dyDescent="0.3">
      <c r="G252" s="11">
        <v>45235</v>
      </c>
      <c r="H252" s="7"/>
    </row>
    <row r="253" spans="7:8" x14ac:dyDescent="0.3">
      <c r="G253" s="6" t="s">
        <v>68</v>
      </c>
      <c r="H253" s="7"/>
    </row>
    <row r="254" spans="7:8" x14ac:dyDescent="0.3">
      <c r="G254" s="12" t="s">
        <v>42</v>
      </c>
      <c r="H254" s="7">
        <v>12</v>
      </c>
    </row>
    <row r="255" spans="7:8" x14ac:dyDescent="0.3">
      <c r="G255" s="11">
        <v>45236</v>
      </c>
      <c r="H255" s="7"/>
    </row>
    <row r="256" spans="7:8" x14ac:dyDescent="0.3">
      <c r="G256" s="6" t="s">
        <v>68</v>
      </c>
      <c r="H256" s="7"/>
    </row>
    <row r="257" spans="7:8" x14ac:dyDescent="0.3">
      <c r="G257" s="12" t="s">
        <v>43</v>
      </c>
      <c r="H257" s="7">
        <v>10</v>
      </c>
    </row>
    <row r="258" spans="7:8" x14ac:dyDescent="0.3">
      <c r="G258" s="11">
        <v>45237</v>
      </c>
      <c r="H258" s="7"/>
    </row>
    <row r="259" spans="7:8" x14ac:dyDescent="0.3">
      <c r="G259" s="6" t="s">
        <v>68</v>
      </c>
      <c r="H259" s="7"/>
    </row>
    <row r="260" spans="7:8" x14ac:dyDescent="0.3">
      <c r="G260" s="12" t="s">
        <v>44</v>
      </c>
      <c r="H260" s="7">
        <v>11</v>
      </c>
    </row>
    <row r="261" spans="7:8" x14ac:dyDescent="0.3">
      <c r="G261" s="11">
        <v>45238</v>
      </c>
      <c r="H261" s="7"/>
    </row>
    <row r="262" spans="7:8" x14ac:dyDescent="0.3">
      <c r="G262" s="6" t="s">
        <v>68</v>
      </c>
      <c r="H262" s="7"/>
    </row>
    <row r="263" spans="7:8" x14ac:dyDescent="0.3">
      <c r="G263" s="12" t="s">
        <v>45</v>
      </c>
      <c r="H263" s="7">
        <v>10</v>
      </c>
    </row>
    <row r="264" spans="7:8" x14ac:dyDescent="0.3">
      <c r="G264" s="11">
        <v>45239</v>
      </c>
      <c r="H264" s="7"/>
    </row>
    <row r="265" spans="7:8" x14ac:dyDescent="0.3">
      <c r="G265" s="6" t="s">
        <v>68</v>
      </c>
      <c r="H265" s="7"/>
    </row>
    <row r="266" spans="7:8" x14ac:dyDescent="0.3">
      <c r="G266" s="12" t="s">
        <v>46</v>
      </c>
      <c r="H266" s="7">
        <v>8</v>
      </c>
    </row>
    <row r="267" spans="7:8" x14ac:dyDescent="0.3">
      <c r="G267" s="11">
        <v>45240</v>
      </c>
      <c r="H267" s="7"/>
    </row>
    <row r="268" spans="7:8" x14ac:dyDescent="0.3">
      <c r="G268" s="6" t="s">
        <v>68</v>
      </c>
      <c r="H268" s="7"/>
    </row>
    <row r="269" spans="7:8" x14ac:dyDescent="0.3">
      <c r="G269" s="12" t="s">
        <v>47</v>
      </c>
      <c r="H269" s="7">
        <v>6</v>
      </c>
    </row>
    <row r="270" spans="7:8" x14ac:dyDescent="0.3">
      <c r="G270" s="11">
        <v>45241</v>
      </c>
      <c r="H270" s="7"/>
    </row>
    <row r="271" spans="7:8" x14ac:dyDescent="0.3">
      <c r="G271" s="6" t="s">
        <v>68</v>
      </c>
      <c r="H271" s="7"/>
    </row>
    <row r="272" spans="7:8" x14ac:dyDescent="0.3">
      <c r="G272" s="12" t="s">
        <v>48</v>
      </c>
      <c r="H272" s="7">
        <v>7</v>
      </c>
    </row>
    <row r="273" spans="7:8" x14ac:dyDescent="0.3">
      <c r="G273" s="11">
        <v>45242</v>
      </c>
      <c r="H273" s="7"/>
    </row>
    <row r="274" spans="7:8" x14ac:dyDescent="0.3">
      <c r="G274" s="6" t="s">
        <v>68</v>
      </c>
      <c r="H274" s="7"/>
    </row>
    <row r="275" spans="7:8" x14ac:dyDescent="0.3">
      <c r="G275" s="12" t="s">
        <v>49</v>
      </c>
      <c r="H275" s="7">
        <v>5</v>
      </c>
    </row>
    <row r="276" spans="7:8" x14ac:dyDescent="0.3">
      <c r="G276" s="11">
        <v>45243</v>
      </c>
      <c r="H276" s="7"/>
    </row>
    <row r="277" spans="7:8" x14ac:dyDescent="0.3">
      <c r="G277" s="6" t="s">
        <v>68</v>
      </c>
      <c r="H277" s="7"/>
    </row>
    <row r="278" spans="7:8" x14ac:dyDescent="0.3">
      <c r="G278" s="12" t="s">
        <v>50</v>
      </c>
      <c r="H278" s="7">
        <v>2</v>
      </c>
    </row>
    <row r="279" spans="7:8" x14ac:dyDescent="0.3">
      <c r="G279" s="11">
        <v>45244</v>
      </c>
      <c r="H279" s="7"/>
    </row>
    <row r="280" spans="7:8" x14ac:dyDescent="0.3">
      <c r="G280" s="6" t="s">
        <v>68</v>
      </c>
      <c r="H280" s="7"/>
    </row>
    <row r="281" spans="7:8" x14ac:dyDescent="0.3">
      <c r="G281" s="12" t="s">
        <v>51</v>
      </c>
      <c r="H281" s="7">
        <v>10</v>
      </c>
    </row>
    <row r="282" spans="7:8" x14ac:dyDescent="0.3">
      <c r="G282" s="11">
        <v>45245</v>
      </c>
      <c r="H282" s="7"/>
    </row>
    <row r="283" spans="7:8" x14ac:dyDescent="0.3">
      <c r="G283" s="6" t="s">
        <v>68</v>
      </c>
      <c r="H283" s="7"/>
    </row>
    <row r="284" spans="7:8" x14ac:dyDescent="0.3">
      <c r="G284" s="12" t="s">
        <v>52</v>
      </c>
      <c r="H284" s="7">
        <v>9</v>
      </c>
    </row>
    <row r="285" spans="7:8" x14ac:dyDescent="0.3">
      <c r="G285" s="11">
        <v>45246</v>
      </c>
      <c r="H285" s="7"/>
    </row>
    <row r="286" spans="7:8" x14ac:dyDescent="0.3">
      <c r="G286" s="6" t="s">
        <v>68</v>
      </c>
      <c r="H286" s="7"/>
    </row>
    <row r="287" spans="7:8" x14ac:dyDescent="0.3">
      <c r="G287" s="12" t="s">
        <v>53</v>
      </c>
      <c r="H287" s="7">
        <v>10</v>
      </c>
    </row>
    <row r="288" spans="7:8" x14ac:dyDescent="0.3">
      <c r="G288" s="11">
        <v>45247</v>
      </c>
      <c r="H288" s="7"/>
    </row>
    <row r="289" spans="7:8" x14ac:dyDescent="0.3">
      <c r="G289" s="6" t="s">
        <v>68</v>
      </c>
      <c r="H289" s="7"/>
    </row>
    <row r="290" spans="7:8" x14ac:dyDescent="0.3">
      <c r="G290" s="12" t="s">
        <v>54</v>
      </c>
      <c r="H290" s="7">
        <v>9</v>
      </c>
    </row>
    <row r="291" spans="7:8" x14ac:dyDescent="0.3">
      <c r="G291" s="11">
        <v>45248</v>
      </c>
      <c r="H291" s="7"/>
    </row>
    <row r="292" spans="7:8" x14ac:dyDescent="0.3">
      <c r="G292" s="6" t="s">
        <v>68</v>
      </c>
      <c r="H292" s="7"/>
    </row>
    <row r="293" spans="7:8" x14ac:dyDescent="0.3">
      <c r="G293" s="12" t="s">
        <v>55</v>
      </c>
      <c r="H293" s="7">
        <v>6</v>
      </c>
    </row>
    <row r="294" spans="7:8" x14ac:dyDescent="0.3">
      <c r="G294" s="11">
        <v>45249</v>
      </c>
      <c r="H294" s="7"/>
    </row>
    <row r="295" spans="7:8" x14ac:dyDescent="0.3">
      <c r="G295" s="6" t="s">
        <v>68</v>
      </c>
      <c r="H295" s="7"/>
    </row>
    <row r="296" spans="7:8" x14ac:dyDescent="0.3">
      <c r="G296" s="12" t="s">
        <v>56</v>
      </c>
      <c r="H296" s="7">
        <v>18</v>
      </c>
    </row>
    <row r="297" spans="7:8" x14ac:dyDescent="0.3">
      <c r="G297" s="11">
        <v>45250</v>
      </c>
      <c r="H297" s="7"/>
    </row>
    <row r="298" spans="7:8" x14ac:dyDescent="0.3">
      <c r="G298" s="6" t="s">
        <v>68</v>
      </c>
      <c r="H298" s="7"/>
    </row>
    <row r="299" spans="7:8" x14ac:dyDescent="0.3">
      <c r="G299" s="12" t="s">
        <v>57</v>
      </c>
      <c r="H299" s="7">
        <v>7</v>
      </c>
    </row>
    <row r="300" spans="7:8" x14ac:dyDescent="0.3">
      <c r="G300" s="11">
        <v>45251</v>
      </c>
      <c r="H300" s="7"/>
    </row>
    <row r="301" spans="7:8" x14ac:dyDescent="0.3">
      <c r="G301" s="6" t="s">
        <v>68</v>
      </c>
      <c r="H301" s="7"/>
    </row>
    <row r="302" spans="7:8" x14ac:dyDescent="0.3">
      <c r="G302" s="12" t="s">
        <v>58</v>
      </c>
      <c r="H302" s="7">
        <v>6</v>
      </c>
    </row>
    <row r="303" spans="7:8" x14ac:dyDescent="0.3">
      <c r="G303" s="11">
        <v>45252</v>
      </c>
      <c r="H303" s="7"/>
    </row>
    <row r="304" spans="7:8" x14ac:dyDescent="0.3">
      <c r="G304" s="6" t="s">
        <v>68</v>
      </c>
      <c r="H304" s="7"/>
    </row>
    <row r="305" spans="7:8" x14ac:dyDescent="0.3">
      <c r="G305" s="12" t="s">
        <v>59</v>
      </c>
      <c r="H305" s="7">
        <v>3</v>
      </c>
    </row>
    <row r="306" spans="7:8" x14ac:dyDescent="0.3">
      <c r="G306" s="11">
        <v>45253</v>
      </c>
      <c r="H306" s="7"/>
    </row>
    <row r="307" spans="7:8" x14ac:dyDescent="0.3">
      <c r="G307" s="6" t="s">
        <v>68</v>
      </c>
      <c r="H307" s="7"/>
    </row>
    <row r="308" spans="7:8" x14ac:dyDescent="0.3">
      <c r="G308" s="12" t="s">
        <v>60</v>
      </c>
      <c r="H308" s="7">
        <v>12</v>
      </c>
    </row>
    <row r="309" spans="7:8" x14ac:dyDescent="0.3">
      <c r="G309" s="11">
        <v>45254</v>
      </c>
      <c r="H309" s="7"/>
    </row>
    <row r="310" spans="7:8" x14ac:dyDescent="0.3">
      <c r="G310" s="6" t="s">
        <v>68</v>
      </c>
      <c r="H310" s="7"/>
    </row>
    <row r="311" spans="7:8" x14ac:dyDescent="0.3">
      <c r="G311" s="12" t="s">
        <v>61</v>
      </c>
      <c r="H311" s="7">
        <v>13</v>
      </c>
    </row>
    <row r="312" spans="7:8" x14ac:dyDescent="0.3">
      <c r="G312" s="11">
        <v>45255</v>
      </c>
      <c r="H312" s="7"/>
    </row>
    <row r="313" spans="7:8" x14ac:dyDescent="0.3">
      <c r="G313" s="6" t="s">
        <v>68</v>
      </c>
      <c r="H313" s="7"/>
    </row>
    <row r="314" spans="7:8" x14ac:dyDescent="0.3">
      <c r="G314" s="12" t="s">
        <v>62</v>
      </c>
      <c r="H314" s="7">
        <v>5</v>
      </c>
    </row>
    <row r="315" spans="7:8" x14ac:dyDescent="0.3">
      <c r="G315" s="11">
        <v>45256</v>
      </c>
      <c r="H315" s="7"/>
    </row>
    <row r="316" spans="7:8" x14ac:dyDescent="0.3">
      <c r="G316" s="6" t="s">
        <v>68</v>
      </c>
      <c r="H316" s="7"/>
    </row>
    <row r="317" spans="7:8" x14ac:dyDescent="0.3">
      <c r="G317" s="12" t="s">
        <v>63</v>
      </c>
      <c r="H317" s="7">
        <v>5</v>
      </c>
    </row>
    <row r="318" spans="7:8" x14ac:dyDescent="0.3">
      <c r="G318" s="11">
        <v>45257</v>
      </c>
      <c r="H318" s="7"/>
    </row>
    <row r="319" spans="7:8" x14ac:dyDescent="0.3">
      <c r="G319" s="6" t="s">
        <v>68</v>
      </c>
      <c r="H319" s="7"/>
    </row>
    <row r="320" spans="7:8" x14ac:dyDescent="0.3">
      <c r="G320" s="12" t="s">
        <v>64</v>
      </c>
      <c r="H320" s="7">
        <v>7</v>
      </c>
    </row>
    <row r="321" spans="7:8" x14ac:dyDescent="0.3">
      <c r="G321" s="11">
        <v>45258</v>
      </c>
      <c r="H321" s="7"/>
    </row>
    <row r="322" spans="7:8" x14ac:dyDescent="0.3">
      <c r="G322" s="6" t="s">
        <v>68</v>
      </c>
      <c r="H322" s="7"/>
    </row>
    <row r="323" spans="7:8" x14ac:dyDescent="0.3">
      <c r="G323" s="12" t="s">
        <v>65</v>
      </c>
      <c r="H323" s="7">
        <v>12</v>
      </c>
    </row>
    <row r="324" spans="7:8" x14ac:dyDescent="0.3">
      <c r="G324" s="11">
        <v>45259</v>
      </c>
      <c r="H324" s="7"/>
    </row>
    <row r="325" spans="7:8" x14ac:dyDescent="0.3">
      <c r="G325" s="6" t="s">
        <v>68</v>
      </c>
      <c r="H325" s="7"/>
    </row>
    <row r="326" spans="7:8" x14ac:dyDescent="0.3">
      <c r="G326" s="12" t="s">
        <v>66</v>
      </c>
      <c r="H326" s="7">
        <v>9</v>
      </c>
    </row>
    <row r="327" spans="7:8" x14ac:dyDescent="0.3">
      <c r="G327" s="11">
        <v>45260</v>
      </c>
      <c r="H327" s="7"/>
    </row>
    <row r="328" spans="7:8" x14ac:dyDescent="0.3">
      <c r="G328" s="6" t="s">
        <v>68</v>
      </c>
      <c r="H328" s="7"/>
    </row>
    <row r="329" spans="7:8" x14ac:dyDescent="0.3">
      <c r="G329" s="12" t="s">
        <v>67</v>
      </c>
      <c r="H329" s="7">
        <v>9</v>
      </c>
    </row>
    <row r="330" spans="7:8" x14ac:dyDescent="0.3">
      <c r="G330" s="4" t="s">
        <v>33</v>
      </c>
      <c r="H330" s="7"/>
    </row>
    <row r="331" spans="7:8" x14ac:dyDescent="0.3">
      <c r="G331" s="11">
        <v>45231</v>
      </c>
      <c r="H331" s="7"/>
    </row>
    <row r="332" spans="7:8" x14ac:dyDescent="0.3">
      <c r="G332" s="6" t="s">
        <v>68</v>
      </c>
      <c r="H332" s="7"/>
    </row>
    <row r="333" spans="7:8" x14ac:dyDescent="0.3">
      <c r="G333" s="12" t="s">
        <v>38</v>
      </c>
      <c r="H333" s="7">
        <v>4</v>
      </c>
    </row>
    <row r="334" spans="7:8" x14ac:dyDescent="0.3">
      <c r="G334" s="11">
        <v>45232</v>
      </c>
      <c r="H334" s="7"/>
    </row>
    <row r="335" spans="7:8" x14ac:dyDescent="0.3">
      <c r="G335" s="6" t="s">
        <v>68</v>
      </c>
      <c r="H335" s="7"/>
    </row>
    <row r="336" spans="7:8" x14ac:dyDescent="0.3">
      <c r="G336" s="12" t="s">
        <v>39</v>
      </c>
      <c r="H336" s="7">
        <v>3</v>
      </c>
    </row>
    <row r="337" spans="7:8" x14ac:dyDescent="0.3">
      <c r="G337" s="11">
        <v>45233</v>
      </c>
      <c r="H337" s="7"/>
    </row>
    <row r="338" spans="7:8" x14ac:dyDescent="0.3">
      <c r="G338" s="6" t="s">
        <v>68</v>
      </c>
      <c r="H338" s="7"/>
    </row>
    <row r="339" spans="7:8" x14ac:dyDescent="0.3">
      <c r="G339" s="12" t="s">
        <v>40</v>
      </c>
      <c r="H339" s="7">
        <v>3</v>
      </c>
    </row>
    <row r="340" spans="7:8" x14ac:dyDescent="0.3">
      <c r="G340" s="11">
        <v>45236</v>
      </c>
      <c r="H340" s="7"/>
    </row>
    <row r="341" spans="7:8" x14ac:dyDescent="0.3">
      <c r="G341" s="6" t="s">
        <v>68</v>
      </c>
      <c r="H341" s="7"/>
    </row>
    <row r="342" spans="7:8" x14ac:dyDescent="0.3">
      <c r="G342" s="12" t="s">
        <v>43</v>
      </c>
      <c r="H342" s="7">
        <v>3</v>
      </c>
    </row>
    <row r="343" spans="7:8" x14ac:dyDescent="0.3">
      <c r="G343" s="11">
        <v>45238</v>
      </c>
      <c r="H343" s="7"/>
    </row>
    <row r="344" spans="7:8" x14ac:dyDescent="0.3">
      <c r="G344" s="6" t="s">
        <v>68</v>
      </c>
      <c r="H344" s="7"/>
    </row>
    <row r="345" spans="7:8" x14ac:dyDescent="0.3">
      <c r="G345" s="12" t="s">
        <v>45</v>
      </c>
      <c r="H345" s="7">
        <v>2</v>
      </c>
    </row>
    <row r="346" spans="7:8" x14ac:dyDescent="0.3">
      <c r="G346" s="11">
        <v>45239</v>
      </c>
      <c r="H346" s="7"/>
    </row>
    <row r="347" spans="7:8" x14ac:dyDescent="0.3">
      <c r="G347" s="6" t="s">
        <v>68</v>
      </c>
      <c r="H347" s="7"/>
    </row>
    <row r="348" spans="7:8" x14ac:dyDescent="0.3">
      <c r="G348" s="12" t="s">
        <v>46</v>
      </c>
      <c r="H348" s="7">
        <v>4</v>
      </c>
    </row>
    <row r="349" spans="7:8" x14ac:dyDescent="0.3">
      <c r="G349" s="11">
        <v>45240</v>
      </c>
      <c r="H349" s="7"/>
    </row>
    <row r="350" spans="7:8" x14ac:dyDescent="0.3">
      <c r="G350" s="6" t="s">
        <v>68</v>
      </c>
      <c r="H350" s="7"/>
    </row>
    <row r="351" spans="7:8" x14ac:dyDescent="0.3">
      <c r="G351" s="12" t="s">
        <v>47</v>
      </c>
      <c r="H351" s="7">
        <v>2</v>
      </c>
    </row>
    <row r="352" spans="7:8" x14ac:dyDescent="0.3">
      <c r="G352" s="11">
        <v>45241</v>
      </c>
      <c r="H352" s="7"/>
    </row>
    <row r="353" spans="7:8" x14ac:dyDescent="0.3">
      <c r="G353" s="6" t="s">
        <v>68</v>
      </c>
      <c r="H353" s="7"/>
    </row>
    <row r="354" spans="7:8" x14ac:dyDescent="0.3">
      <c r="G354" s="12" t="s">
        <v>48</v>
      </c>
      <c r="H354" s="7">
        <v>1</v>
      </c>
    </row>
    <row r="355" spans="7:8" x14ac:dyDescent="0.3">
      <c r="G355" s="11">
        <v>45242</v>
      </c>
      <c r="H355" s="7"/>
    </row>
    <row r="356" spans="7:8" x14ac:dyDescent="0.3">
      <c r="G356" s="6" t="s">
        <v>68</v>
      </c>
      <c r="H356" s="7"/>
    </row>
    <row r="357" spans="7:8" x14ac:dyDescent="0.3">
      <c r="G357" s="12" t="s">
        <v>49</v>
      </c>
      <c r="H357" s="7">
        <v>2</v>
      </c>
    </row>
    <row r="358" spans="7:8" x14ac:dyDescent="0.3">
      <c r="G358" s="11">
        <v>45243</v>
      </c>
      <c r="H358" s="7"/>
    </row>
    <row r="359" spans="7:8" x14ac:dyDescent="0.3">
      <c r="G359" s="6" t="s">
        <v>68</v>
      </c>
      <c r="H359" s="7"/>
    </row>
    <row r="360" spans="7:8" x14ac:dyDescent="0.3">
      <c r="G360" s="12" t="s">
        <v>50</v>
      </c>
      <c r="H360" s="7">
        <v>1</v>
      </c>
    </row>
    <row r="361" spans="7:8" x14ac:dyDescent="0.3">
      <c r="G361" s="11">
        <v>45244</v>
      </c>
      <c r="H361" s="7"/>
    </row>
    <row r="362" spans="7:8" x14ac:dyDescent="0.3">
      <c r="G362" s="6" t="s">
        <v>68</v>
      </c>
      <c r="H362" s="7"/>
    </row>
    <row r="363" spans="7:8" x14ac:dyDescent="0.3">
      <c r="G363" s="12" t="s">
        <v>51</v>
      </c>
      <c r="H363" s="7">
        <v>3</v>
      </c>
    </row>
    <row r="364" spans="7:8" x14ac:dyDescent="0.3">
      <c r="G364" s="11">
        <v>45245</v>
      </c>
      <c r="H364" s="7"/>
    </row>
    <row r="365" spans="7:8" x14ac:dyDescent="0.3">
      <c r="G365" s="6" t="s">
        <v>68</v>
      </c>
      <c r="H365" s="7"/>
    </row>
    <row r="366" spans="7:8" x14ac:dyDescent="0.3">
      <c r="G366" s="12" t="s">
        <v>52</v>
      </c>
      <c r="H366" s="7">
        <v>1</v>
      </c>
    </row>
    <row r="367" spans="7:8" x14ac:dyDescent="0.3">
      <c r="G367" s="11">
        <v>45247</v>
      </c>
      <c r="H367" s="7"/>
    </row>
    <row r="368" spans="7:8" x14ac:dyDescent="0.3">
      <c r="G368" s="6" t="s">
        <v>68</v>
      </c>
      <c r="H368" s="7"/>
    </row>
    <row r="369" spans="7:8" x14ac:dyDescent="0.3">
      <c r="G369" s="12" t="s">
        <v>54</v>
      </c>
      <c r="H369" s="7">
        <v>7</v>
      </c>
    </row>
    <row r="370" spans="7:8" x14ac:dyDescent="0.3">
      <c r="G370" s="11">
        <v>45248</v>
      </c>
      <c r="H370" s="7"/>
    </row>
    <row r="371" spans="7:8" x14ac:dyDescent="0.3">
      <c r="G371" s="6" t="s">
        <v>68</v>
      </c>
      <c r="H371" s="7"/>
    </row>
    <row r="372" spans="7:8" x14ac:dyDescent="0.3">
      <c r="G372" s="12" t="s">
        <v>55</v>
      </c>
      <c r="H372" s="7">
        <v>3</v>
      </c>
    </row>
    <row r="373" spans="7:8" x14ac:dyDescent="0.3">
      <c r="G373" s="11">
        <v>45249</v>
      </c>
      <c r="H373" s="7"/>
    </row>
    <row r="374" spans="7:8" x14ac:dyDescent="0.3">
      <c r="G374" s="6" t="s">
        <v>68</v>
      </c>
      <c r="H374" s="7"/>
    </row>
    <row r="375" spans="7:8" x14ac:dyDescent="0.3">
      <c r="G375" s="12" t="s">
        <v>56</v>
      </c>
      <c r="H375" s="7">
        <v>3</v>
      </c>
    </row>
    <row r="376" spans="7:8" x14ac:dyDescent="0.3">
      <c r="G376" s="11">
        <v>45250</v>
      </c>
      <c r="H376" s="7"/>
    </row>
    <row r="377" spans="7:8" x14ac:dyDescent="0.3">
      <c r="G377" s="6" t="s">
        <v>68</v>
      </c>
      <c r="H377" s="7"/>
    </row>
    <row r="378" spans="7:8" x14ac:dyDescent="0.3">
      <c r="G378" s="12" t="s">
        <v>57</v>
      </c>
      <c r="H378" s="7">
        <v>3</v>
      </c>
    </row>
    <row r="379" spans="7:8" x14ac:dyDescent="0.3">
      <c r="G379" s="11">
        <v>45251</v>
      </c>
      <c r="H379" s="7"/>
    </row>
    <row r="380" spans="7:8" x14ac:dyDescent="0.3">
      <c r="G380" s="6" t="s">
        <v>68</v>
      </c>
      <c r="H380" s="7"/>
    </row>
    <row r="381" spans="7:8" x14ac:dyDescent="0.3">
      <c r="G381" s="12" t="s">
        <v>58</v>
      </c>
      <c r="H381" s="7">
        <v>1</v>
      </c>
    </row>
    <row r="382" spans="7:8" x14ac:dyDescent="0.3">
      <c r="G382" s="11">
        <v>45252</v>
      </c>
      <c r="H382" s="7"/>
    </row>
    <row r="383" spans="7:8" x14ac:dyDescent="0.3">
      <c r="G383" s="6" t="s">
        <v>68</v>
      </c>
      <c r="H383" s="7"/>
    </row>
    <row r="384" spans="7:8" x14ac:dyDescent="0.3">
      <c r="G384" s="12" t="s">
        <v>59</v>
      </c>
      <c r="H384" s="7">
        <v>4</v>
      </c>
    </row>
    <row r="385" spans="7:8" x14ac:dyDescent="0.3">
      <c r="G385" s="11">
        <v>45253</v>
      </c>
      <c r="H385" s="7"/>
    </row>
    <row r="386" spans="7:8" x14ac:dyDescent="0.3">
      <c r="G386" s="6" t="s">
        <v>68</v>
      </c>
      <c r="H386" s="7"/>
    </row>
    <row r="387" spans="7:8" x14ac:dyDescent="0.3">
      <c r="G387" s="12" t="s">
        <v>60</v>
      </c>
      <c r="H387" s="7">
        <v>2</v>
      </c>
    </row>
    <row r="388" spans="7:8" x14ac:dyDescent="0.3">
      <c r="G388" s="11">
        <v>45254</v>
      </c>
      <c r="H388" s="7"/>
    </row>
    <row r="389" spans="7:8" x14ac:dyDescent="0.3">
      <c r="G389" s="6" t="s">
        <v>68</v>
      </c>
      <c r="H389" s="7"/>
    </row>
    <row r="390" spans="7:8" x14ac:dyDescent="0.3">
      <c r="G390" s="12" t="s">
        <v>61</v>
      </c>
      <c r="H390" s="7">
        <v>1</v>
      </c>
    </row>
    <row r="391" spans="7:8" x14ac:dyDescent="0.3">
      <c r="G391" s="11">
        <v>45255</v>
      </c>
      <c r="H391" s="7"/>
    </row>
    <row r="392" spans="7:8" x14ac:dyDescent="0.3">
      <c r="G392" s="6" t="s">
        <v>68</v>
      </c>
      <c r="H392" s="7"/>
    </row>
    <row r="393" spans="7:8" x14ac:dyDescent="0.3">
      <c r="G393" s="12" t="s">
        <v>62</v>
      </c>
      <c r="H393" s="7">
        <v>3</v>
      </c>
    </row>
    <row r="394" spans="7:8" x14ac:dyDescent="0.3">
      <c r="G394" s="11">
        <v>45256</v>
      </c>
      <c r="H394" s="7"/>
    </row>
    <row r="395" spans="7:8" x14ac:dyDescent="0.3">
      <c r="G395" s="6" t="s">
        <v>68</v>
      </c>
      <c r="H395" s="7"/>
    </row>
    <row r="396" spans="7:8" x14ac:dyDescent="0.3">
      <c r="G396" s="12" t="s">
        <v>63</v>
      </c>
      <c r="H396" s="7">
        <v>1</v>
      </c>
    </row>
    <row r="397" spans="7:8" x14ac:dyDescent="0.3">
      <c r="G397" s="11">
        <v>45257</v>
      </c>
      <c r="H397" s="7"/>
    </row>
    <row r="398" spans="7:8" x14ac:dyDescent="0.3">
      <c r="G398" s="6" t="s">
        <v>68</v>
      </c>
      <c r="H398" s="7"/>
    </row>
    <row r="399" spans="7:8" x14ac:dyDescent="0.3">
      <c r="G399" s="12" t="s">
        <v>64</v>
      </c>
      <c r="H399" s="7">
        <v>3</v>
      </c>
    </row>
    <row r="400" spans="7:8" x14ac:dyDescent="0.3">
      <c r="G400" s="11">
        <v>45259</v>
      </c>
      <c r="H400" s="7"/>
    </row>
    <row r="401" spans="7:8" x14ac:dyDescent="0.3">
      <c r="G401" s="6" t="s">
        <v>68</v>
      </c>
      <c r="H401" s="7"/>
    </row>
    <row r="402" spans="7:8" x14ac:dyDescent="0.3">
      <c r="G402" s="12" t="s">
        <v>66</v>
      </c>
      <c r="H402" s="7">
        <v>3</v>
      </c>
    </row>
    <row r="403" spans="7:8" x14ac:dyDescent="0.3">
      <c r="G403" s="11">
        <v>45260</v>
      </c>
      <c r="H403" s="7"/>
    </row>
    <row r="404" spans="7:8" x14ac:dyDescent="0.3">
      <c r="G404" s="6" t="s">
        <v>68</v>
      </c>
      <c r="H404" s="7"/>
    </row>
    <row r="405" spans="7:8" x14ac:dyDescent="0.3">
      <c r="G405" s="12" t="s">
        <v>67</v>
      </c>
      <c r="H405" s="7">
        <v>4</v>
      </c>
    </row>
    <row r="406" spans="7:8" x14ac:dyDescent="0.3">
      <c r="G406" s="4" t="s">
        <v>34</v>
      </c>
      <c r="H406" s="7"/>
    </row>
    <row r="407" spans="7:8" x14ac:dyDescent="0.3">
      <c r="G407" s="11">
        <v>45231</v>
      </c>
      <c r="H407" s="7"/>
    </row>
    <row r="408" spans="7:8" x14ac:dyDescent="0.3">
      <c r="G408" s="6" t="s">
        <v>68</v>
      </c>
      <c r="H408" s="7"/>
    </row>
    <row r="409" spans="7:8" x14ac:dyDescent="0.3">
      <c r="G409" s="12" t="s">
        <v>38</v>
      </c>
      <c r="H409" s="7">
        <v>2</v>
      </c>
    </row>
    <row r="410" spans="7:8" x14ac:dyDescent="0.3">
      <c r="G410" s="11">
        <v>45234</v>
      </c>
      <c r="H410" s="7"/>
    </row>
    <row r="411" spans="7:8" x14ac:dyDescent="0.3">
      <c r="G411" s="6" t="s">
        <v>68</v>
      </c>
      <c r="H411" s="7"/>
    </row>
    <row r="412" spans="7:8" x14ac:dyDescent="0.3">
      <c r="G412" s="12" t="s">
        <v>41</v>
      </c>
      <c r="H412" s="7">
        <v>3</v>
      </c>
    </row>
    <row r="413" spans="7:8" x14ac:dyDescent="0.3">
      <c r="G413" s="11">
        <v>45235</v>
      </c>
      <c r="H413" s="7"/>
    </row>
    <row r="414" spans="7:8" x14ac:dyDescent="0.3">
      <c r="G414" s="6" t="s">
        <v>68</v>
      </c>
      <c r="H414" s="7"/>
    </row>
    <row r="415" spans="7:8" x14ac:dyDescent="0.3">
      <c r="G415" s="12" t="s">
        <v>42</v>
      </c>
      <c r="H415" s="7">
        <v>1</v>
      </c>
    </row>
    <row r="416" spans="7:8" x14ac:dyDescent="0.3">
      <c r="G416" s="11">
        <v>45236</v>
      </c>
      <c r="H416" s="7"/>
    </row>
    <row r="417" spans="7:8" x14ac:dyDescent="0.3">
      <c r="G417" s="6" t="s">
        <v>68</v>
      </c>
      <c r="H417" s="7"/>
    </row>
    <row r="418" spans="7:8" x14ac:dyDescent="0.3">
      <c r="G418" s="12" t="s">
        <v>43</v>
      </c>
      <c r="H418" s="7">
        <v>1</v>
      </c>
    </row>
    <row r="419" spans="7:8" x14ac:dyDescent="0.3">
      <c r="G419" s="11">
        <v>45239</v>
      </c>
      <c r="H419" s="7"/>
    </row>
    <row r="420" spans="7:8" x14ac:dyDescent="0.3">
      <c r="G420" s="6" t="s">
        <v>68</v>
      </c>
      <c r="H420" s="7"/>
    </row>
    <row r="421" spans="7:8" x14ac:dyDescent="0.3">
      <c r="G421" s="12" t="s">
        <v>46</v>
      </c>
      <c r="H421" s="7">
        <v>1</v>
      </c>
    </row>
    <row r="422" spans="7:8" x14ac:dyDescent="0.3">
      <c r="G422" s="11">
        <v>45241</v>
      </c>
      <c r="H422" s="7"/>
    </row>
    <row r="423" spans="7:8" x14ac:dyDescent="0.3">
      <c r="G423" s="6" t="s">
        <v>68</v>
      </c>
      <c r="H423" s="7"/>
    </row>
    <row r="424" spans="7:8" x14ac:dyDescent="0.3">
      <c r="G424" s="12" t="s">
        <v>48</v>
      </c>
      <c r="H424" s="7">
        <v>1</v>
      </c>
    </row>
    <row r="425" spans="7:8" x14ac:dyDescent="0.3">
      <c r="G425" s="11">
        <v>45243</v>
      </c>
      <c r="H425" s="7"/>
    </row>
    <row r="426" spans="7:8" x14ac:dyDescent="0.3">
      <c r="G426" s="6" t="s">
        <v>68</v>
      </c>
      <c r="H426" s="7"/>
    </row>
    <row r="427" spans="7:8" x14ac:dyDescent="0.3">
      <c r="G427" s="12" t="s">
        <v>50</v>
      </c>
      <c r="H427" s="7">
        <v>3</v>
      </c>
    </row>
    <row r="428" spans="7:8" x14ac:dyDescent="0.3">
      <c r="G428" s="11">
        <v>45251</v>
      </c>
      <c r="H428" s="7"/>
    </row>
    <row r="429" spans="7:8" x14ac:dyDescent="0.3">
      <c r="G429" s="6" t="s">
        <v>68</v>
      </c>
      <c r="H429" s="7"/>
    </row>
    <row r="430" spans="7:8" x14ac:dyDescent="0.3">
      <c r="G430" s="12" t="s">
        <v>58</v>
      </c>
      <c r="H430" s="7">
        <v>1</v>
      </c>
    </row>
    <row r="431" spans="7:8" x14ac:dyDescent="0.3">
      <c r="G431" s="11">
        <v>45255</v>
      </c>
      <c r="H431" s="7"/>
    </row>
    <row r="432" spans="7:8" x14ac:dyDescent="0.3">
      <c r="G432" s="6" t="s">
        <v>68</v>
      </c>
      <c r="H432" s="7"/>
    </row>
    <row r="433" spans="7:8" x14ac:dyDescent="0.3">
      <c r="G433" s="12" t="s">
        <v>62</v>
      </c>
      <c r="H433" s="7">
        <v>1</v>
      </c>
    </row>
    <row r="434" spans="7:8" x14ac:dyDescent="0.3">
      <c r="G434" s="11">
        <v>45256</v>
      </c>
      <c r="H434" s="7"/>
    </row>
    <row r="435" spans="7:8" x14ac:dyDescent="0.3">
      <c r="G435" s="6" t="s">
        <v>68</v>
      </c>
      <c r="H435" s="7"/>
    </row>
    <row r="436" spans="7:8" x14ac:dyDescent="0.3">
      <c r="G436" s="12" t="s">
        <v>63</v>
      </c>
      <c r="H436" s="7">
        <v>1</v>
      </c>
    </row>
    <row r="437" spans="7:8" x14ac:dyDescent="0.3">
      <c r="G437" s="11">
        <v>45258</v>
      </c>
      <c r="H437" s="7"/>
    </row>
    <row r="438" spans="7:8" x14ac:dyDescent="0.3">
      <c r="G438" s="6" t="s">
        <v>68</v>
      </c>
      <c r="H438" s="7"/>
    </row>
    <row r="439" spans="7:8" x14ac:dyDescent="0.3">
      <c r="G439" s="12" t="s">
        <v>65</v>
      </c>
      <c r="H439" s="7">
        <v>2</v>
      </c>
    </row>
    <row r="440" spans="7:8" x14ac:dyDescent="0.3">
      <c r="G440" s="11">
        <v>45260</v>
      </c>
      <c r="H440" s="7"/>
    </row>
    <row r="441" spans="7:8" x14ac:dyDescent="0.3">
      <c r="G441" s="6" t="s">
        <v>68</v>
      </c>
      <c r="H441" s="7"/>
    </row>
    <row r="442" spans="7:8" x14ac:dyDescent="0.3">
      <c r="G442" s="12" t="s">
        <v>67</v>
      </c>
      <c r="H442" s="7">
        <v>2</v>
      </c>
    </row>
    <row r="443" spans="7:8" x14ac:dyDescent="0.3">
      <c r="G443" s="4" t="s">
        <v>35</v>
      </c>
      <c r="H443" s="7"/>
    </row>
    <row r="444" spans="7:8" x14ac:dyDescent="0.3">
      <c r="G444" s="11">
        <v>45255</v>
      </c>
      <c r="H444" s="7"/>
    </row>
    <row r="445" spans="7:8" x14ac:dyDescent="0.3">
      <c r="G445" s="6" t="s">
        <v>68</v>
      </c>
      <c r="H445" s="7"/>
    </row>
    <row r="446" spans="7:8" x14ac:dyDescent="0.3">
      <c r="G446" s="12" t="s">
        <v>62</v>
      </c>
      <c r="H446" s="7">
        <v>2</v>
      </c>
    </row>
    <row r="447" spans="7:8" x14ac:dyDescent="0.3">
      <c r="G447" s="4" t="s">
        <v>6</v>
      </c>
      <c r="H447" s="7">
        <v>464</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D6123-1C77-4A71-BD99-6ECA39819B82}">
  <dimension ref="CD1:CZ35"/>
  <sheetViews>
    <sheetView tabSelected="1" topLeftCell="CC1" workbookViewId="0">
      <selection activeCell="CY3" sqref="CY3:DA3"/>
    </sheetView>
  </sheetViews>
  <sheetFormatPr defaultRowHeight="14.4" x14ac:dyDescent="0.3"/>
  <sheetData>
    <row r="1" spans="82:104" x14ac:dyDescent="0.3">
      <c r="CD1" s="3"/>
      <c r="CE1" s="3"/>
      <c r="CF1" s="3"/>
      <c r="CG1" s="3"/>
      <c r="CH1" s="3"/>
      <c r="CI1" s="3"/>
      <c r="CJ1" s="3"/>
      <c r="CK1" s="3"/>
      <c r="CL1" s="3"/>
      <c r="CM1" s="3"/>
      <c r="CN1" s="3"/>
      <c r="CO1" s="3"/>
      <c r="CP1" s="3"/>
      <c r="CQ1" s="3"/>
      <c r="CR1" s="3"/>
      <c r="CS1" s="3"/>
      <c r="CT1" s="3"/>
      <c r="CU1" s="3"/>
      <c r="CV1" s="3"/>
      <c r="CW1" s="3"/>
      <c r="CX1" s="3"/>
      <c r="CY1" s="3"/>
      <c r="CZ1" s="3"/>
    </row>
    <row r="2" spans="82:104" x14ac:dyDescent="0.3">
      <c r="CD2" s="3"/>
      <c r="CE2" s="3"/>
      <c r="CF2" s="3"/>
      <c r="CG2" s="3"/>
      <c r="CH2" s="3"/>
      <c r="CI2" s="3"/>
      <c r="CJ2" s="3"/>
      <c r="CK2" s="3"/>
      <c r="CL2" s="3"/>
      <c r="CM2" s="3"/>
      <c r="CN2" s="3"/>
      <c r="CO2" s="3"/>
      <c r="CP2" s="3"/>
      <c r="CQ2" s="3"/>
      <c r="CR2" s="3"/>
      <c r="CS2" s="3"/>
      <c r="CT2" s="3"/>
      <c r="CU2" s="3"/>
      <c r="CV2" s="3"/>
      <c r="CW2" s="3"/>
      <c r="CX2" s="3"/>
      <c r="CY2" s="3"/>
      <c r="CZ2" s="3"/>
    </row>
    <row r="3" spans="82:104" x14ac:dyDescent="0.3">
      <c r="CD3" s="3"/>
      <c r="CE3" s="3"/>
      <c r="CF3" s="3"/>
      <c r="CG3" s="3"/>
      <c r="CH3" s="3"/>
      <c r="CI3" s="3"/>
      <c r="CJ3" s="3"/>
      <c r="CK3" s="3"/>
      <c r="CL3" s="3"/>
      <c r="CM3" s="3"/>
      <c r="CN3" s="3"/>
      <c r="CO3" s="3"/>
      <c r="CP3" s="3"/>
      <c r="CQ3" s="3"/>
      <c r="CR3" s="3"/>
      <c r="CS3" s="3"/>
      <c r="CT3" s="3"/>
      <c r="CU3" s="3"/>
      <c r="CV3" s="3"/>
      <c r="CW3" s="3"/>
      <c r="CX3" s="3"/>
      <c r="CY3" s="3"/>
      <c r="CZ3" s="3"/>
    </row>
    <row r="4" spans="82:104" x14ac:dyDescent="0.3">
      <c r="CD4" s="3"/>
      <c r="CE4" s="3"/>
      <c r="CF4" s="3"/>
      <c r="CG4" s="3"/>
      <c r="CH4" s="3"/>
      <c r="CI4" s="3"/>
      <c r="CJ4" s="3"/>
      <c r="CK4" s="3"/>
      <c r="CL4" s="3"/>
      <c r="CM4" s="3"/>
      <c r="CN4" s="3"/>
      <c r="CO4" s="3"/>
      <c r="CP4" s="3"/>
      <c r="CQ4" s="3"/>
      <c r="CR4" s="3"/>
      <c r="CS4" s="3"/>
      <c r="CT4" s="3"/>
      <c r="CU4" s="3"/>
      <c r="CV4" s="3"/>
      <c r="CW4" s="3"/>
      <c r="CX4" s="3"/>
      <c r="CY4" s="3"/>
      <c r="CZ4" s="3"/>
    </row>
    <row r="5" spans="82:104" x14ac:dyDescent="0.3">
      <c r="CD5" s="3"/>
      <c r="CE5" s="3"/>
      <c r="CF5" s="3"/>
      <c r="CG5" s="3"/>
      <c r="CH5" s="3"/>
      <c r="CI5" s="3"/>
      <c r="CJ5" s="3"/>
      <c r="CK5" s="3"/>
      <c r="CL5" s="3"/>
      <c r="CM5" s="3"/>
      <c r="CN5" s="3"/>
      <c r="CO5" s="3"/>
      <c r="CP5" s="3"/>
      <c r="CQ5" s="3"/>
      <c r="CR5" s="3"/>
      <c r="CS5" s="3"/>
      <c r="CT5" s="3"/>
      <c r="CU5" s="3"/>
      <c r="CV5" s="3"/>
      <c r="CW5" s="3"/>
      <c r="CX5" s="3"/>
      <c r="CY5" s="3"/>
      <c r="CZ5" s="3"/>
    </row>
    <row r="6" spans="82:104" x14ac:dyDescent="0.3">
      <c r="CD6" s="3"/>
      <c r="CE6" s="3"/>
      <c r="CF6" s="3"/>
      <c r="CG6" s="3"/>
      <c r="CH6" s="3"/>
      <c r="CI6" s="3"/>
      <c r="CJ6" s="3"/>
      <c r="CK6" s="3"/>
      <c r="CL6" s="3"/>
      <c r="CM6" s="3"/>
      <c r="CN6" s="3"/>
      <c r="CO6" s="3"/>
      <c r="CP6" s="3"/>
      <c r="CQ6" s="3"/>
      <c r="CR6" s="3"/>
      <c r="CS6" s="3"/>
      <c r="CT6" s="3"/>
      <c r="CU6" s="3"/>
      <c r="CV6" s="3"/>
      <c r="CW6" s="3"/>
      <c r="CX6" s="3"/>
      <c r="CY6" s="3"/>
      <c r="CZ6" s="3"/>
    </row>
    <row r="7" spans="82:104" x14ac:dyDescent="0.3">
      <c r="CD7" s="3"/>
      <c r="CE7" s="3"/>
      <c r="CF7" s="3"/>
      <c r="CG7" s="3"/>
      <c r="CH7" s="3"/>
      <c r="CI7" s="3"/>
      <c r="CJ7" s="3"/>
      <c r="CK7" s="3"/>
      <c r="CL7" s="3"/>
      <c r="CM7" s="3"/>
      <c r="CN7" s="3"/>
      <c r="CO7" s="3"/>
      <c r="CP7" s="3"/>
      <c r="CQ7" s="3"/>
      <c r="CR7" s="3"/>
      <c r="CS7" s="3"/>
      <c r="CT7" s="3"/>
      <c r="CU7" s="3"/>
      <c r="CV7" s="3"/>
      <c r="CW7" s="3"/>
      <c r="CX7" s="3"/>
      <c r="CY7" s="3"/>
      <c r="CZ7" s="3"/>
    </row>
    <row r="8" spans="82:104" x14ac:dyDescent="0.3">
      <c r="CD8" s="3"/>
      <c r="CE8" s="3"/>
      <c r="CF8" s="3"/>
      <c r="CG8" s="3"/>
      <c r="CH8" s="3"/>
      <c r="CI8" s="3"/>
      <c r="CJ8" s="3"/>
      <c r="CK8" s="3"/>
      <c r="CL8" s="3"/>
      <c r="CM8" s="3"/>
      <c r="CN8" s="3"/>
      <c r="CO8" s="3"/>
      <c r="CP8" s="3"/>
      <c r="CQ8" s="3"/>
      <c r="CR8" s="3"/>
      <c r="CS8" s="3"/>
      <c r="CT8" s="3"/>
      <c r="CU8" s="3"/>
      <c r="CV8" s="3"/>
      <c r="CW8" s="3"/>
      <c r="CX8" s="3"/>
      <c r="CY8" s="3"/>
      <c r="CZ8" s="3"/>
    </row>
    <row r="9" spans="82:104" x14ac:dyDescent="0.3">
      <c r="CD9" s="3"/>
      <c r="CE9" s="3"/>
      <c r="CF9" s="3"/>
      <c r="CG9" s="3"/>
      <c r="CH9" s="3"/>
      <c r="CI9" s="3"/>
      <c r="CJ9" s="3"/>
      <c r="CK9" s="3"/>
      <c r="CL9" s="3"/>
      <c r="CM9" s="3"/>
      <c r="CN9" s="3"/>
      <c r="CO9" s="3"/>
      <c r="CP9" s="3"/>
      <c r="CQ9" s="3"/>
      <c r="CR9" s="3"/>
      <c r="CS9" s="3"/>
      <c r="CT9" s="3"/>
      <c r="CU9" s="3"/>
      <c r="CV9" s="3"/>
      <c r="CW9" s="3"/>
      <c r="CX9" s="3"/>
      <c r="CY9" s="3"/>
      <c r="CZ9" s="3"/>
    </row>
    <row r="10" spans="82:104" x14ac:dyDescent="0.3">
      <c r="CD10" s="3"/>
      <c r="CE10" s="3"/>
      <c r="CF10" s="3"/>
      <c r="CG10" s="3"/>
      <c r="CH10" s="3"/>
      <c r="CI10" s="3"/>
      <c r="CJ10" s="3"/>
      <c r="CK10" s="3"/>
      <c r="CL10" s="3"/>
      <c r="CM10" s="3"/>
      <c r="CN10" s="3"/>
      <c r="CO10" s="3"/>
      <c r="CP10" s="3"/>
      <c r="CQ10" s="3"/>
      <c r="CR10" s="3"/>
      <c r="CS10" s="3"/>
      <c r="CT10" s="3"/>
      <c r="CU10" s="3"/>
      <c r="CV10" s="3"/>
      <c r="CW10" s="3"/>
      <c r="CX10" s="3"/>
      <c r="CY10" s="3"/>
      <c r="CZ10" s="3"/>
    </row>
    <row r="11" spans="82:104" x14ac:dyDescent="0.3">
      <c r="CD11" s="3"/>
      <c r="CE11" s="3"/>
      <c r="CF11" s="3"/>
      <c r="CG11" s="3"/>
      <c r="CH11" s="3"/>
      <c r="CI11" s="3"/>
      <c r="CJ11" s="3"/>
      <c r="CK11" s="3"/>
      <c r="CL11" s="3"/>
      <c r="CM11" s="3"/>
      <c r="CN11" s="3"/>
      <c r="CO11" s="3"/>
      <c r="CP11" s="3"/>
      <c r="CQ11" s="3"/>
      <c r="CR11" s="3"/>
      <c r="CS11" s="3"/>
      <c r="CT11" s="3"/>
      <c r="CU11" s="3"/>
      <c r="CV11" s="3"/>
      <c r="CW11" s="3"/>
      <c r="CX11" s="3"/>
      <c r="CY11" s="3"/>
      <c r="CZ11" s="3"/>
    </row>
    <row r="12" spans="82:104" x14ac:dyDescent="0.3">
      <c r="CD12" s="3"/>
      <c r="CE12" s="3"/>
      <c r="CF12" s="3"/>
      <c r="CG12" s="3"/>
      <c r="CH12" s="3"/>
      <c r="CI12" s="3"/>
      <c r="CJ12" s="3"/>
      <c r="CK12" s="3"/>
      <c r="CL12" s="3"/>
      <c r="CM12" s="3"/>
      <c r="CN12" s="3"/>
      <c r="CO12" s="3"/>
      <c r="CP12" s="3"/>
      <c r="CQ12" s="3"/>
      <c r="CR12" s="3"/>
      <c r="CS12" s="3"/>
      <c r="CT12" s="3"/>
      <c r="CU12" s="3"/>
      <c r="CV12" s="3"/>
      <c r="CW12" s="3"/>
      <c r="CX12" s="3"/>
      <c r="CY12" s="3"/>
      <c r="CZ12" s="3"/>
    </row>
    <row r="13" spans="82:104" x14ac:dyDescent="0.3">
      <c r="CD13" s="3"/>
      <c r="CE13" s="3"/>
      <c r="CF13" s="3"/>
      <c r="CG13" s="3"/>
      <c r="CH13" s="3"/>
      <c r="CI13" s="3"/>
      <c r="CJ13" s="3"/>
      <c r="CK13" s="3"/>
      <c r="CL13" s="3"/>
      <c r="CM13" s="3"/>
      <c r="CN13" s="3"/>
      <c r="CO13" s="3"/>
      <c r="CP13" s="3"/>
      <c r="CQ13" s="3"/>
      <c r="CR13" s="3"/>
      <c r="CS13" s="3"/>
      <c r="CT13" s="3"/>
      <c r="CU13" s="3"/>
      <c r="CV13" s="3"/>
      <c r="CW13" s="3"/>
      <c r="CX13" s="3"/>
      <c r="CY13" s="3"/>
      <c r="CZ13" s="3"/>
    </row>
    <row r="14" spans="82:104" x14ac:dyDescent="0.3">
      <c r="CD14" s="3"/>
      <c r="CE14" s="3"/>
      <c r="CF14" s="3"/>
      <c r="CG14" s="3"/>
      <c r="CH14" s="3"/>
      <c r="CI14" s="3"/>
      <c r="CJ14" s="3"/>
      <c r="CK14" s="3"/>
      <c r="CL14" s="3"/>
      <c r="CM14" s="3"/>
      <c r="CN14" s="3"/>
      <c r="CO14" s="3"/>
      <c r="CP14" s="3"/>
      <c r="CQ14" s="3"/>
      <c r="CR14" s="3"/>
      <c r="CS14" s="3"/>
      <c r="CT14" s="3"/>
      <c r="CU14" s="3"/>
      <c r="CV14" s="3"/>
      <c r="CW14" s="3"/>
      <c r="CX14" s="3"/>
      <c r="CY14" s="3"/>
      <c r="CZ14" s="3"/>
    </row>
    <row r="15" spans="82:104" x14ac:dyDescent="0.3">
      <c r="CD15" s="3"/>
      <c r="CE15" s="3"/>
      <c r="CF15" s="3"/>
      <c r="CG15" s="3"/>
      <c r="CH15" s="3"/>
      <c r="CI15" s="3"/>
      <c r="CJ15" s="3"/>
      <c r="CK15" s="3"/>
      <c r="CL15" s="3"/>
      <c r="CM15" s="3"/>
      <c r="CN15" s="3"/>
      <c r="CO15" s="3"/>
      <c r="CP15" s="3"/>
      <c r="CQ15" s="3"/>
      <c r="CR15" s="3"/>
      <c r="CS15" s="3"/>
      <c r="CT15" s="3"/>
      <c r="CU15" s="3"/>
      <c r="CV15" s="3"/>
      <c r="CW15" s="3"/>
      <c r="CX15" s="3"/>
      <c r="CY15" s="3"/>
      <c r="CZ15" s="3"/>
    </row>
    <row r="16" spans="82:104" x14ac:dyDescent="0.3">
      <c r="CD16" s="3"/>
      <c r="CE16" s="3"/>
      <c r="CF16" s="3"/>
      <c r="CG16" s="3"/>
      <c r="CH16" s="3"/>
      <c r="CI16" s="3"/>
      <c r="CJ16" s="3"/>
      <c r="CK16" s="3"/>
      <c r="CL16" s="3"/>
      <c r="CM16" s="3"/>
      <c r="CN16" s="3"/>
      <c r="CO16" s="3"/>
      <c r="CP16" s="3"/>
      <c r="CQ16" s="3"/>
      <c r="CR16" s="3"/>
      <c r="CS16" s="3"/>
      <c r="CT16" s="3"/>
      <c r="CU16" s="3"/>
      <c r="CV16" s="3"/>
      <c r="CW16" s="3"/>
      <c r="CX16" s="3"/>
      <c r="CY16" s="3"/>
      <c r="CZ16" s="3"/>
    </row>
    <row r="17" spans="82:104" x14ac:dyDescent="0.3">
      <c r="CD17" s="3"/>
      <c r="CE17" s="3"/>
      <c r="CF17" s="3"/>
      <c r="CG17" s="3"/>
      <c r="CH17" s="3"/>
      <c r="CI17" s="3"/>
      <c r="CJ17" s="3"/>
      <c r="CK17" s="3"/>
      <c r="CL17" s="3"/>
      <c r="CM17" s="3"/>
      <c r="CN17" s="3"/>
      <c r="CO17" s="3"/>
      <c r="CP17" s="3"/>
      <c r="CQ17" s="3"/>
      <c r="CR17" s="3"/>
      <c r="CS17" s="3"/>
      <c r="CT17" s="3"/>
      <c r="CU17" s="3"/>
      <c r="CV17" s="3"/>
      <c r="CW17" s="3"/>
      <c r="CX17" s="3"/>
      <c r="CY17" s="3"/>
      <c r="CZ17" s="3"/>
    </row>
    <row r="18" spans="82:104" x14ac:dyDescent="0.3">
      <c r="CD18" s="3"/>
      <c r="CE18" s="3"/>
      <c r="CF18" s="3"/>
      <c r="CG18" s="3"/>
      <c r="CH18" s="3"/>
      <c r="CI18" s="3"/>
      <c r="CJ18" s="3"/>
      <c r="CK18" s="3"/>
      <c r="CL18" s="3"/>
      <c r="CM18" s="3"/>
      <c r="CN18" s="3"/>
      <c r="CO18" s="3"/>
      <c r="CP18" s="3"/>
      <c r="CQ18" s="3"/>
      <c r="CR18" s="3"/>
      <c r="CS18" s="3"/>
      <c r="CT18" s="3"/>
      <c r="CU18" s="3"/>
      <c r="CV18" s="3"/>
      <c r="CW18" s="3"/>
      <c r="CX18" s="3"/>
      <c r="CY18" s="3"/>
      <c r="CZ18" s="3"/>
    </row>
    <row r="19" spans="82:104" x14ac:dyDescent="0.3">
      <c r="CD19" s="3"/>
      <c r="CE19" s="3"/>
      <c r="CF19" s="3"/>
      <c r="CG19" s="3"/>
      <c r="CH19" s="3"/>
      <c r="CI19" s="3"/>
      <c r="CJ19" s="3"/>
      <c r="CK19" s="3"/>
      <c r="CL19" s="3"/>
      <c r="CM19" s="3"/>
      <c r="CN19" s="3"/>
      <c r="CO19" s="3"/>
      <c r="CP19" s="3"/>
      <c r="CQ19" s="3"/>
      <c r="CR19" s="3"/>
      <c r="CS19" s="3"/>
      <c r="CT19" s="3"/>
      <c r="CU19" s="3"/>
      <c r="CV19" s="3"/>
      <c r="CW19" s="3"/>
      <c r="CX19" s="3"/>
      <c r="CY19" s="3"/>
      <c r="CZ19" s="3"/>
    </row>
    <row r="20" spans="82:104" x14ac:dyDescent="0.3">
      <c r="CD20" s="3"/>
      <c r="CE20" s="3"/>
      <c r="CF20" s="3"/>
      <c r="CG20" s="3"/>
      <c r="CH20" s="3"/>
      <c r="CI20" s="3"/>
      <c r="CJ20" s="3"/>
      <c r="CK20" s="3"/>
      <c r="CL20" s="3"/>
      <c r="CM20" s="3"/>
      <c r="CN20" s="3"/>
      <c r="CO20" s="3"/>
      <c r="CP20" s="3"/>
      <c r="CQ20" s="3"/>
      <c r="CR20" s="3"/>
      <c r="CS20" s="3"/>
      <c r="CT20" s="3"/>
      <c r="CU20" s="3"/>
      <c r="CV20" s="3"/>
      <c r="CW20" s="3"/>
      <c r="CX20" s="3"/>
      <c r="CY20" s="3"/>
      <c r="CZ20" s="3"/>
    </row>
    <row r="21" spans="82:104" x14ac:dyDescent="0.3">
      <c r="CD21" s="3"/>
      <c r="CE21" s="3"/>
      <c r="CF21" s="3"/>
      <c r="CG21" s="3"/>
      <c r="CH21" s="3"/>
      <c r="CI21" s="3"/>
      <c r="CJ21" s="3"/>
      <c r="CK21" s="3"/>
      <c r="CL21" s="3"/>
      <c r="CM21" s="3"/>
      <c r="CN21" s="3"/>
      <c r="CO21" s="3"/>
      <c r="CP21" s="3"/>
      <c r="CQ21" s="3"/>
      <c r="CR21" s="3"/>
      <c r="CS21" s="3"/>
      <c r="CT21" s="3"/>
      <c r="CU21" s="3"/>
      <c r="CV21" s="3"/>
      <c r="CW21" s="3"/>
      <c r="CX21" s="3"/>
      <c r="CY21" s="3"/>
      <c r="CZ21" s="3"/>
    </row>
    <row r="22" spans="82:104" x14ac:dyDescent="0.3">
      <c r="CD22" s="3"/>
      <c r="CE22" s="3"/>
      <c r="CF22" s="3"/>
      <c r="CG22" s="3"/>
      <c r="CH22" s="3"/>
      <c r="CI22" s="3"/>
      <c r="CJ22" s="3"/>
      <c r="CK22" s="3"/>
      <c r="CL22" s="3"/>
      <c r="CM22" s="3"/>
      <c r="CN22" s="3"/>
      <c r="CO22" s="3"/>
      <c r="CP22" s="3"/>
      <c r="CQ22" s="3"/>
      <c r="CR22" s="3"/>
      <c r="CS22" s="3"/>
      <c r="CT22" s="3"/>
      <c r="CU22" s="3"/>
      <c r="CV22" s="3"/>
      <c r="CW22" s="3"/>
      <c r="CX22" s="3"/>
      <c r="CY22" s="3"/>
      <c r="CZ22" s="3"/>
    </row>
    <row r="23" spans="82:104" x14ac:dyDescent="0.3">
      <c r="CD23" s="3"/>
      <c r="CE23" s="3"/>
      <c r="CF23" s="3"/>
      <c r="CG23" s="3"/>
      <c r="CH23" s="3"/>
      <c r="CI23" s="3"/>
      <c r="CJ23" s="3"/>
      <c r="CK23" s="3"/>
      <c r="CL23" s="3"/>
      <c r="CM23" s="3"/>
      <c r="CN23" s="3"/>
      <c r="CO23" s="3"/>
      <c r="CP23" s="3"/>
      <c r="CQ23" s="3"/>
      <c r="CR23" s="3"/>
      <c r="CS23" s="3"/>
      <c r="CT23" s="3"/>
      <c r="CU23" s="3"/>
      <c r="CV23" s="3"/>
      <c r="CW23" s="3"/>
      <c r="CX23" s="3"/>
      <c r="CY23" s="3"/>
      <c r="CZ23" s="3"/>
    </row>
    <row r="24" spans="82:104" x14ac:dyDescent="0.3">
      <c r="CD24" s="3"/>
      <c r="CE24" s="3"/>
      <c r="CF24" s="3"/>
      <c r="CG24" s="3"/>
      <c r="CH24" s="3"/>
      <c r="CI24" s="3"/>
      <c r="CJ24" s="3"/>
      <c r="CK24" s="3"/>
      <c r="CL24" s="3"/>
      <c r="CM24" s="3"/>
      <c r="CN24" s="3"/>
      <c r="CO24" s="3"/>
      <c r="CP24" s="3"/>
      <c r="CQ24" s="3"/>
      <c r="CR24" s="3"/>
      <c r="CS24" s="3"/>
      <c r="CT24" s="3"/>
      <c r="CU24" s="3"/>
      <c r="CV24" s="3"/>
      <c r="CW24" s="3"/>
      <c r="CX24" s="3"/>
      <c r="CY24" s="3"/>
      <c r="CZ24" s="3"/>
    </row>
    <row r="25" spans="82:104" x14ac:dyDescent="0.3">
      <c r="CD25" s="3"/>
      <c r="CE25" s="3"/>
      <c r="CF25" s="3"/>
      <c r="CG25" s="3"/>
      <c r="CH25" s="3"/>
      <c r="CI25" s="3"/>
      <c r="CJ25" s="3"/>
      <c r="CK25" s="3"/>
      <c r="CL25" s="3"/>
      <c r="CM25" s="3"/>
      <c r="CN25" s="3"/>
      <c r="CO25" s="3"/>
      <c r="CP25" s="3"/>
      <c r="CQ25" s="3"/>
      <c r="CR25" s="3"/>
      <c r="CS25" s="3"/>
      <c r="CT25" s="3"/>
      <c r="CU25" s="3"/>
      <c r="CV25" s="3"/>
      <c r="CW25" s="3"/>
      <c r="CX25" s="3"/>
      <c r="CY25" s="3"/>
      <c r="CZ25" s="3"/>
    </row>
    <row r="26" spans="82:104" x14ac:dyDescent="0.3">
      <c r="CD26" s="3"/>
      <c r="CE26" s="3"/>
      <c r="CF26" s="3"/>
      <c r="CG26" s="3"/>
      <c r="CH26" s="3"/>
      <c r="CI26" s="3"/>
      <c r="CJ26" s="3"/>
      <c r="CK26" s="3"/>
      <c r="CL26" s="3"/>
      <c r="CM26" s="3"/>
      <c r="CN26" s="3"/>
      <c r="CO26" s="3"/>
      <c r="CP26" s="3"/>
      <c r="CQ26" s="3"/>
      <c r="CR26" s="3"/>
      <c r="CS26" s="3"/>
      <c r="CT26" s="3"/>
      <c r="CU26" s="3"/>
      <c r="CV26" s="3"/>
      <c r="CW26" s="3"/>
      <c r="CX26" s="3"/>
      <c r="CY26" s="3"/>
      <c r="CZ26" s="3"/>
    </row>
    <row r="27" spans="82:104" x14ac:dyDescent="0.3">
      <c r="CD27" s="3"/>
      <c r="CE27" s="3"/>
      <c r="CF27" s="3"/>
      <c r="CG27" s="3"/>
      <c r="CH27" s="3"/>
      <c r="CI27" s="3"/>
      <c r="CJ27" s="3"/>
      <c r="CK27" s="3"/>
      <c r="CL27" s="3"/>
      <c r="CM27" s="3"/>
      <c r="CN27" s="3"/>
      <c r="CO27" s="3"/>
      <c r="CP27" s="3"/>
      <c r="CQ27" s="3"/>
      <c r="CR27" s="3"/>
      <c r="CS27" s="3"/>
      <c r="CT27" s="3"/>
      <c r="CU27" s="3"/>
      <c r="CV27" s="3"/>
      <c r="CW27" s="3"/>
      <c r="CX27" s="3"/>
      <c r="CY27" s="3"/>
      <c r="CZ27" s="3"/>
    </row>
    <row r="28" spans="82:104" x14ac:dyDescent="0.3">
      <c r="CD28" s="3"/>
      <c r="CE28" s="3"/>
      <c r="CF28" s="3"/>
      <c r="CG28" s="3"/>
      <c r="CH28" s="3"/>
      <c r="CI28" s="3"/>
      <c r="CJ28" s="3"/>
      <c r="CK28" s="3"/>
      <c r="CL28" s="3"/>
      <c r="CM28" s="3"/>
      <c r="CN28" s="3"/>
      <c r="CO28" s="3"/>
      <c r="CP28" s="3"/>
      <c r="CQ28" s="3"/>
      <c r="CR28" s="3"/>
      <c r="CS28" s="3"/>
      <c r="CT28" s="3"/>
      <c r="CU28" s="3"/>
      <c r="CV28" s="3"/>
      <c r="CW28" s="3"/>
      <c r="CX28" s="3"/>
      <c r="CY28" s="3"/>
      <c r="CZ28" s="3"/>
    </row>
    <row r="29" spans="82:104" x14ac:dyDescent="0.3">
      <c r="CD29" s="3"/>
      <c r="CE29" s="3"/>
      <c r="CF29" s="3"/>
      <c r="CG29" s="3"/>
      <c r="CH29" s="3"/>
      <c r="CI29" s="3"/>
      <c r="CJ29" s="3"/>
      <c r="CK29" s="3"/>
      <c r="CL29" s="3"/>
      <c r="CM29" s="3"/>
      <c r="CN29" s="3"/>
      <c r="CO29" s="3"/>
      <c r="CP29" s="3"/>
      <c r="CQ29" s="3"/>
      <c r="CR29" s="3"/>
      <c r="CS29" s="3"/>
      <c r="CT29" s="3"/>
      <c r="CU29" s="3"/>
      <c r="CV29" s="3"/>
      <c r="CW29" s="3"/>
      <c r="CX29" s="3"/>
      <c r="CY29" s="3"/>
      <c r="CZ29" s="3"/>
    </row>
    <row r="30" spans="82:104" x14ac:dyDescent="0.3">
      <c r="CD30" s="3"/>
      <c r="CE30" s="3"/>
      <c r="CF30" s="3"/>
      <c r="CG30" s="3"/>
      <c r="CH30" s="3"/>
      <c r="CI30" s="3"/>
      <c r="CJ30" s="3"/>
      <c r="CK30" s="3"/>
      <c r="CL30" s="3"/>
      <c r="CM30" s="3"/>
      <c r="CN30" s="3"/>
      <c r="CO30" s="3"/>
      <c r="CP30" s="3"/>
      <c r="CQ30" s="3"/>
      <c r="CR30" s="3"/>
      <c r="CS30" s="3"/>
      <c r="CT30" s="3"/>
      <c r="CU30" s="3"/>
      <c r="CV30" s="3"/>
      <c r="CW30" s="3"/>
      <c r="CX30" s="3"/>
      <c r="CY30" s="3"/>
      <c r="CZ30" s="3"/>
    </row>
    <row r="31" spans="82:104" x14ac:dyDescent="0.3">
      <c r="CD31" s="3"/>
      <c r="CE31" s="3"/>
      <c r="CF31" s="3"/>
      <c r="CG31" s="3"/>
      <c r="CH31" s="3"/>
      <c r="CI31" s="3"/>
      <c r="CJ31" s="3"/>
      <c r="CK31" s="3"/>
      <c r="CL31" s="3"/>
      <c r="CM31" s="3"/>
      <c r="CN31" s="3"/>
      <c r="CO31" s="3"/>
      <c r="CP31" s="3"/>
      <c r="CQ31" s="3"/>
      <c r="CR31" s="3"/>
      <c r="CS31" s="3"/>
      <c r="CT31" s="3"/>
      <c r="CU31" s="3"/>
      <c r="CV31" s="3"/>
      <c r="CW31" s="3"/>
      <c r="CX31" s="3"/>
      <c r="CY31" s="3"/>
      <c r="CZ31" s="3"/>
    </row>
    <row r="32" spans="82:104" x14ac:dyDescent="0.3">
      <c r="CD32" s="3"/>
      <c r="CE32" s="3"/>
      <c r="CF32" s="3"/>
      <c r="CG32" s="3"/>
      <c r="CH32" s="3"/>
      <c r="CI32" s="3"/>
      <c r="CJ32" s="3"/>
      <c r="CK32" s="3"/>
      <c r="CL32" s="3"/>
      <c r="CM32" s="3"/>
      <c r="CN32" s="3"/>
      <c r="CO32" s="3"/>
      <c r="CP32" s="3"/>
      <c r="CQ32" s="3"/>
      <c r="CR32" s="3"/>
      <c r="CS32" s="3"/>
      <c r="CT32" s="3"/>
      <c r="CU32" s="3"/>
      <c r="CV32" s="3"/>
      <c r="CW32" s="3"/>
      <c r="CX32" s="3"/>
      <c r="CY32" s="3"/>
      <c r="CZ32" s="3"/>
    </row>
    <row r="33" spans="82:104" x14ac:dyDescent="0.3">
      <c r="CD33" s="3"/>
      <c r="CE33" s="3"/>
      <c r="CF33" s="3"/>
      <c r="CG33" s="3"/>
      <c r="CH33" s="3"/>
      <c r="CI33" s="3"/>
      <c r="CJ33" s="3"/>
      <c r="CK33" s="3"/>
      <c r="CL33" s="3"/>
      <c r="CM33" s="3"/>
      <c r="CN33" s="3"/>
      <c r="CO33" s="3"/>
      <c r="CP33" s="3"/>
      <c r="CQ33" s="3"/>
      <c r="CR33" s="3"/>
      <c r="CS33" s="3"/>
      <c r="CT33" s="3"/>
      <c r="CU33" s="3"/>
      <c r="CV33" s="3"/>
      <c r="CW33" s="3"/>
      <c r="CX33" s="3"/>
      <c r="CY33" s="3"/>
      <c r="CZ33" s="3"/>
    </row>
    <row r="34" spans="82:104" x14ac:dyDescent="0.3">
      <c r="CD34" s="3"/>
      <c r="CE34" s="3"/>
      <c r="CF34" s="3"/>
      <c r="CG34" s="3"/>
      <c r="CH34" s="3"/>
      <c r="CI34" s="3"/>
      <c r="CJ34" s="3"/>
      <c r="CK34" s="3"/>
      <c r="CL34" s="3"/>
      <c r="CM34" s="3"/>
      <c r="CN34" s="3"/>
      <c r="CO34" s="3"/>
      <c r="CP34" s="3"/>
      <c r="CQ34" s="3"/>
      <c r="CR34" s="3"/>
      <c r="CS34" s="3"/>
      <c r="CT34" s="3"/>
      <c r="CU34" s="3"/>
      <c r="CV34" s="3"/>
      <c r="CW34" s="3"/>
      <c r="CX34" s="3"/>
      <c r="CY34" s="3"/>
      <c r="CZ34" s="3"/>
    </row>
    <row r="35" spans="82:104" x14ac:dyDescent="0.3">
      <c r="CD35" s="3"/>
      <c r="CE35" s="3"/>
      <c r="CF35" s="3"/>
      <c r="CG35" s="3"/>
      <c r="CH35" s="3"/>
      <c r="CI35" s="3"/>
      <c r="CJ35" s="3"/>
      <c r="CK35" s="3"/>
      <c r="CL35" s="3"/>
      <c r="CM35" s="3"/>
      <c r="CN35" s="3"/>
      <c r="CO35" s="3"/>
      <c r="CP35" s="3"/>
      <c r="CQ35" s="3"/>
      <c r="CR35" s="3"/>
      <c r="CS35" s="3"/>
      <c r="CT35" s="3"/>
      <c r="CU35" s="3"/>
      <c r="CV35" s="3"/>
      <c r="CW35" s="3"/>
      <c r="CX35" s="3"/>
      <c r="CY35" s="3"/>
      <c r="CZ35" s="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37F5B7E-5126-496A-BB40-C2664EB0C7F6}">
  <ds:schemaRefs>
    <ds:schemaRef ds:uri="http://schemas.microsoft.com/DataMashup"/>
  </ds:schemaRefs>
</ds:datastoreItem>
</file>

<file path=customXml/itemProps2.xml><?xml version="1.0" encoding="utf-8"?>
<ds:datastoreItem xmlns:ds="http://schemas.openxmlformats.org/officeDocument/2006/customXml" ds:itemID="{09069818-993E-487E-A9EB-52782A6CB4BC}">
  <ds:schemaRefs/>
</ds:datastoreItem>
</file>

<file path=customXml/itemProps3.xml><?xml version="1.0" encoding="utf-8"?>
<ds:datastoreItem xmlns:ds="http://schemas.openxmlformats.org/officeDocument/2006/customXml" ds:itemID="{DF7DDF32-6384-476E-9E16-6B4B036DC923}">
  <ds:schemaRefs/>
</ds:datastoreItem>
</file>

<file path=customXml/itemProps4.xml><?xml version="1.0" encoding="utf-8"?>
<ds:datastoreItem xmlns:ds="http://schemas.openxmlformats.org/officeDocument/2006/customXml" ds:itemID="{ACCF93D8-DADB-4BCC-9ED7-CC63A21E2568}">
  <ds:schemaRefs/>
</ds:datastoreItem>
</file>

<file path=customXml/itemProps5.xml><?xml version="1.0" encoding="utf-8"?>
<ds:datastoreItem xmlns:ds="http://schemas.openxmlformats.org/officeDocument/2006/customXml" ds:itemID="{B987BDB5-3B77-4AE2-8812-7D9C397565A9}">
  <ds:schemaRefs/>
</ds:datastoreItem>
</file>

<file path=customXml/itemProps6.xml><?xml version="1.0" encoding="utf-8"?>
<ds:datastoreItem xmlns:ds="http://schemas.openxmlformats.org/officeDocument/2006/customXml" ds:itemID="{A7DFBEC1-ADCC-419C-ACEF-365C7E6D948E}">
  <ds:schemaRefs/>
</ds:datastoreItem>
</file>

<file path=customXml/itemProps7.xml><?xml version="1.0" encoding="utf-8"?>
<ds:datastoreItem xmlns:ds="http://schemas.openxmlformats.org/officeDocument/2006/customXml" ds:itemID="{ACE12A43-B069-4B01-B2FB-A2FCAD63B945}">
  <ds:schemaRefs/>
</ds:datastoreItem>
</file>

<file path=customXml/itemProps8.xml><?xml version="1.0" encoding="utf-8"?>
<ds:datastoreItem xmlns:ds="http://schemas.openxmlformats.org/officeDocument/2006/customXml" ds:itemID="{6B549AF7-BFE9-47F6-9D45-618B04266DF9}">
  <ds:schemaRefs/>
</ds:datastoreItem>
</file>

<file path=customXml/itemProps9.xml><?xml version="1.0" encoding="utf-8"?>
<ds:datastoreItem xmlns:ds="http://schemas.openxmlformats.org/officeDocument/2006/customXml" ds:itemID="{E50ECE90-7475-4E91-87A7-4694A6EA62AD}">
  <ds:schemaRefs/>
</ds:datastoreItem>
</file>

<file path=customXml/itemProps10.xml><?xml version="1.0" encoding="utf-8"?>
<ds:datastoreItem xmlns:ds="http://schemas.openxmlformats.org/officeDocument/2006/customXml" ds:itemID="{6A42E84A-2BDA-46DC-88B7-8028F81CA68D}">
  <ds:schemaRefs/>
</ds:datastoreItem>
</file>

<file path=customXml/itemProps11.xml><?xml version="1.0" encoding="utf-8"?>
<ds:datastoreItem xmlns:ds="http://schemas.openxmlformats.org/officeDocument/2006/customXml" ds:itemID="{CC024EC3-1F8D-46E4-BC50-E5118E90EB47}">
  <ds:schemaRefs/>
</ds:datastoreItem>
</file>

<file path=customXml/itemProps12.xml><?xml version="1.0" encoding="utf-8"?>
<ds:datastoreItem xmlns:ds="http://schemas.openxmlformats.org/officeDocument/2006/customXml" ds:itemID="{3901B960-C579-4909-A860-ECE1E6D53A88}">
  <ds:schemaRefs/>
</ds:datastoreItem>
</file>

<file path=customXml/itemProps13.xml><?xml version="1.0" encoding="utf-8"?>
<ds:datastoreItem xmlns:ds="http://schemas.openxmlformats.org/officeDocument/2006/customXml" ds:itemID="{B63403B3-0E0A-4228-9A1D-8ED6FE29F7F9}">
  <ds:schemaRefs/>
</ds:datastoreItem>
</file>

<file path=customXml/itemProps14.xml><?xml version="1.0" encoding="utf-8"?>
<ds:datastoreItem xmlns:ds="http://schemas.openxmlformats.org/officeDocument/2006/customXml" ds:itemID="{4D30AF3B-ADE3-441C-88F8-3A9F35DA3866}">
  <ds:schemaRefs/>
</ds:datastoreItem>
</file>

<file path=customXml/itemProps15.xml><?xml version="1.0" encoding="utf-8"?>
<ds:datastoreItem xmlns:ds="http://schemas.openxmlformats.org/officeDocument/2006/customXml" ds:itemID="{303BCF89-02BE-4C9A-834D-9173204B70D8}">
  <ds:schemaRefs/>
</ds:datastoreItem>
</file>

<file path=customXml/itemProps16.xml><?xml version="1.0" encoding="utf-8"?>
<ds:datastoreItem xmlns:ds="http://schemas.openxmlformats.org/officeDocument/2006/customXml" ds:itemID="{1A74E29D-D1F4-446C-AD71-53725A4CA694}">
  <ds:schemaRefs/>
</ds:datastoreItem>
</file>

<file path=customXml/itemProps17.xml><?xml version="1.0" encoding="utf-8"?>
<ds:datastoreItem xmlns:ds="http://schemas.openxmlformats.org/officeDocument/2006/customXml" ds:itemID="{93A5EB76-294A-4FC1-8447-2157431649CD}">
  <ds:schemaRefs/>
</ds:datastoreItem>
</file>

<file path=customXml/itemProps18.xml><?xml version="1.0" encoding="utf-8"?>
<ds:datastoreItem xmlns:ds="http://schemas.openxmlformats.org/officeDocument/2006/customXml" ds:itemID="{FAFED79C-EFFD-44CA-B880-2AB163D2006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sd218000@outlook.com</dc:creator>
  <cp:lastModifiedBy>sd218000@outlook.com</cp:lastModifiedBy>
  <dcterms:created xsi:type="dcterms:W3CDTF">2026-02-09T11:54:18Z</dcterms:created>
  <dcterms:modified xsi:type="dcterms:W3CDTF">2026-07-07T05:54:36Z</dcterms:modified>
</cp:coreProperties>
</file>